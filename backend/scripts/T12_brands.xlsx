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社長へclean_output\2024_OZA_テーブル集\★テーブル集★説明付き_motoのやつ\"/>
    </mc:Choice>
  </mc:AlternateContent>
  <xr:revisionPtr revIDLastSave="0" documentId="13_ncr:1_{0A5C428D-4DF1-4901-B9CB-35D8E49B793D}" xr6:coauthVersionLast="47" xr6:coauthVersionMax="47" xr10:uidLastSave="{00000000-0000-0000-0000-000000000000}"/>
  <bookViews>
    <workbookView xWindow="4170" yWindow="315" windowWidth="20460" windowHeight="14745" firstSheet="1" activeTab="1" xr2:uid="{5EE61127-5BFE-4D08-BFD4-12B65F4573D2}"/>
  </bookViews>
  <sheets>
    <sheet name="①項目の説明" sheetId="4" r:id="rId1"/>
    <sheet name="T12_ブランド情報_CSV書き出し用DATAもと" sheetId="3" r:id="rId2"/>
    <sheet name="③ T12_ブランド情報" sheetId="2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クラス情報" localSheetId="2">#REF!</definedName>
    <definedName name="クラス情報" localSheetId="1">#REF!</definedName>
    <definedName name="クラス情報">#REF!</definedName>
    <definedName name="クラス情報3" localSheetId="2">#REF!</definedName>
    <definedName name="クラス情報3" localSheetId="1">#REF!</definedName>
    <definedName name="クラス情報3">#REF!</definedName>
    <definedName name="クラス名">[1]クラスＩＤ11.4更新!$X$1:$Y$17</definedName>
    <definedName name="グレード">[1]クラスＩＤ11.4更新!$P$2:$Q$9</definedName>
    <definedName name="グレード2">[2]関数!$D$2:$E$8</definedName>
    <definedName name="これを印刷">#REF!</definedName>
    <definedName name="ブランド">[3]確認マシーン!$A$2:$A$14</definedName>
    <definedName name="ペアリレー">[2]関数!$C$2:$C$4</definedName>
    <definedName name="丸">[2]関数!$A$2</definedName>
    <definedName name="吉根校" localSheetId="2">#REF!</definedName>
    <definedName name="吉根校" localSheetId="1">#REF!</definedName>
    <definedName name="吉根校">#REF!</definedName>
    <definedName name="月">[2]関数!$F$15:$F$26</definedName>
    <definedName name="校舎">[1]クラスＩＤ11.4更新!$S$1:$U$52</definedName>
    <definedName name="校舎名">[2]関数!$CK$2:$CK$57</definedName>
    <definedName name="時給単価">[2]関数!$C$15</definedName>
    <definedName name="時給内容">[2]関数!$A$34:$A$42</definedName>
    <definedName name="授業時間">[2]関数!$E$2:$F$8</definedName>
    <definedName name="授業時間2">[2]関数!$CI$2:$CI$158</definedName>
    <definedName name="祝日リスト2022">'[4]21901  小学受験部 年少.年中 通期'!$M$2:$N$73</definedName>
    <definedName name="出欠">[2]関数!$A$2:$A$4</definedName>
    <definedName name="全部">#REF!</definedName>
    <definedName name="待機1" localSheetId="2">[2]関数!#REF!</definedName>
    <definedName name="待機1" localSheetId="1">[2]関数!#REF!</definedName>
    <definedName name="待機1">[2]関数!#REF!</definedName>
    <definedName name="待機2" localSheetId="2">[2]関数!#REF!</definedName>
    <definedName name="待機2" localSheetId="1">[2]関数!#REF!</definedName>
    <definedName name="待機2">[2]関数!#REF!</definedName>
    <definedName name="待機3" localSheetId="2">[2]関数!#REF!</definedName>
    <definedName name="待機3" localSheetId="1">[2]関数!#REF!</definedName>
    <definedName name="待機3">[2]関数!#REF!</definedName>
    <definedName name="待機4" localSheetId="2">[2]関数!#REF!</definedName>
    <definedName name="待機4" localSheetId="1">[2]関数!#REF!</definedName>
    <definedName name="待機4">[2]関数!#REF!</definedName>
    <definedName name="待機5">[2]関数!#REF!</definedName>
    <definedName name="待機6">[2]関数!#REF!</definedName>
    <definedName name="待機No">[2]関数!#REF!</definedName>
    <definedName name="日給">[2]関数!$J$2:$L$45</definedName>
    <definedName name="日給単価">[2]関数!$A$15:$A$19</definedName>
    <definedName name="日給内容">[2]関数!$A$27:$A$28</definedName>
    <definedName name="年度">[2]関数!$E$15:$E$24</definedName>
    <definedName name="尾張旭校" localSheetId="2">#REF!</definedName>
    <definedName name="尾張旭校" localSheetId="1">#REF!</definedName>
    <definedName name="尾張旭校">#REF!</definedName>
    <definedName name="曜日">[2]関数!$CM$2:$CM$8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1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2" i="2"/>
  <c r="E8" i="4"/>
  <c r="D8" i="4"/>
  <c r="E2" i="4"/>
  <c r="D2" i="4"/>
  <c r="J50" i="2"/>
  <c r="J51" i="2"/>
  <c r="J5" i="2"/>
  <c r="J7" i="2"/>
  <c r="J10" i="2"/>
  <c r="J11" i="2"/>
  <c r="J12" i="2"/>
  <c r="J16" i="2"/>
  <c r="J17" i="2"/>
  <c r="J25" i="2"/>
  <c r="J26" i="2"/>
  <c r="J27" i="2"/>
  <c r="J28" i="2"/>
  <c r="J29" i="2"/>
  <c r="J30" i="2"/>
  <c r="J37" i="2"/>
  <c r="J38" i="2"/>
  <c r="J39" i="2"/>
  <c r="J40" i="2"/>
  <c r="J41" i="2"/>
  <c r="J43" i="2"/>
  <c r="J45" i="2"/>
  <c r="J2" i="2"/>
  <c r="A50" i="2"/>
  <c r="A52" i="2"/>
  <c r="A53" i="2"/>
  <c r="A54" i="2"/>
  <c r="A55" i="2"/>
  <c r="A3" i="2"/>
  <c r="A4" i="2"/>
  <c r="A51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2" i="2"/>
  <c r="J22" i="2"/>
  <c r="J48" i="2"/>
  <c r="J3" i="2"/>
  <c r="J4" i="2"/>
  <c r="J6" i="2"/>
  <c r="J8" i="2"/>
  <c r="J13" i="2"/>
  <c r="J14" i="2"/>
  <c r="J18" i="2"/>
  <c r="J19" i="2"/>
  <c r="J20" i="2"/>
  <c r="J21" i="2"/>
  <c r="J23" i="2"/>
  <c r="J24" i="2"/>
  <c r="J31" i="2"/>
  <c r="J33" i="2"/>
  <c r="J42" i="2"/>
  <c r="J44" i="2"/>
  <c r="J46" i="2"/>
  <c r="J47" i="2"/>
  <c r="J34" i="2" l="1"/>
  <c r="I34" i="2" s="1"/>
  <c r="J9" i="2"/>
  <c r="J32" i="2"/>
  <c r="J15" i="2"/>
  <c r="J36" i="2"/>
  <c r="J35" i="2"/>
  <c r="J49" i="2"/>
  <c r="I16" i="2"/>
  <c r="I41" i="2"/>
  <c r="I31" i="2" l="1"/>
  <c r="I38" i="2"/>
  <c r="I24" i="2"/>
  <c r="I2" i="2"/>
  <c r="I26" i="2"/>
  <c r="I4" i="2"/>
  <c r="I7" i="2"/>
  <c r="I23" i="2"/>
  <c r="I25" i="2"/>
  <c r="I11" i="2"/>
  <c r="I5" i="2"/>
  <c r="I49" i="2"/>
  <c r="I15" i="2"/>
  <c r="I18" i="2"/>
  <c r="I29" i="2"/>
  <c r="I19" i="2"/>
  <c r="I30" i="2"/>
  <c r="I51" i="2"/>
  <c r="I39" i="2"/>
  <c r="I50" i="2"/>
  <c r="I28" i="2"/>
  <c r="I45" i="2"/>
  <c r="I27" i="2"/>
  <c r="I12" i="2"/>
  <c r="I32" i="2"/>
  <c r="I13" i="2"/>
  <c r="I6" i="2"/>
  <c r="I40" i="2"/>
  <c r="I33" i="2"/>
  <c r="I14" i="2"/>
  <c r="I44" i="2"/>
  <c r="I20" i="2"/>
  <c r="I46" i="2"/>
  <c r="I47" i="2"/>
  <c r="I8" i="2"/>
  <c r="I9" i="2"/>
  <c r="I21" i="2"/>
  <c r="I36" i="2"/>
  <c r="I48" i="2"/>
  <c r="I35" i="2"/>
  <c r="I10" i="2"/>
  <c r="I22" i="2"/>
  <c r="I42" i="2"/>
  <c r="I37" i="2"/>
  <c r="I43" i="2"/>
  <c r="I3" i="2"/>
  <c r="I17" i="2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2" i="4"/>
</calcChain>
</file>

<file path=xl/sharedStrings.xml><?xml version="1.0" encoding="utf-8"?>
<sst xmlns="http://schemas.openxmlformats.org/spreadsheetml/2006/main" count="807" uniqueCount="316">
  <si>
    <t>AEC</t>
  </si>
  <si>
    <t>アンイングリッシュクラブ</t>
  </si>
  <si>
    <t>SOR</t>
  </si>
  <si>
    <t>BMC</t>
  </si>
  <si>
    <t>NKZ</t>
  </si>
  <si>
    <t>なかざわ書道教室</t>
  </si>
  <si>
    <t>PRO</t>
  </si>
  <si>
    <t>SHO</t>
  </si>
  <si>
    <t>KID</t>
  </si>
  <si>
    <t>GYE</t>
  </si>
  <si>
    <t>アン進学ジム【小学部】</t>
  </si>
  <si>
    <t>GYJ</t>
  </si>
  <si>
    <t>アン進学ジム【中学部】</t>
  </si>
  <si>
    <t>GYH</t>
  </si>
  <si>
    <t>アン進学ジム【高校部】</t>
    <rPh sb="7" eb="9">
      <t>コウコウ</t>
    </rPh>
    <phoneticPr fontId="1"/>
  </si>
  <si>
    <t>CLB</t>
  </si>
  <si>
    <t>アン算国クラブ（準拠）</t>
  </si>
  <si>
    <t>MTM</t>
  </si>
  <si>
    <t>CHC</t>
  </si>
  <si>
    <t>千種校　中学受験コース</t>
  </si>
  <si>
    <t>SDA</t>
  </si>
  <si>
    <t>小学生学力向上コース</t>
  </si>
  <si>
    <t>SDB</t>
  </si>
  <si>
    <t>小学生選抜クラス</t>
  </si>
  <si>
    <t>SDF</t>
  </si>
  <si>
    <t>中学生選抜コース</t>
  </si>
  <si>
    <t>SDC</t>
  </si>
  <si>
    <t>志望校合格コース</t>
  </si>
  <si>
    <t>SDH</t>
  </si>
  <si>
    <t>須田塾 高校部</t>
    <rPh sb="0" eb="3">
      <t>スダジュク</t>
    </rPh>
    <rPh sb="4" eb="6">
      <t>コウコウ</t>
    </rPh>
    <phoneticPr fontId="1"/>
  </si>
  <si>
    <t>SUC</t>
  </si>
  <si>
    <t>幼児教育のサクセス</t>
  </si>
  <si>
    <t>GOK</t>
  </si>
  <si>
    <t>アン合格サクセス</t>
    <rPh sb="2" eb="4">
      <t>ゴウカク</t>
    </rPh>
    <phoneticPr fontId="2"/>
  </si>
  <si>
    <t>EDU</t>
  </si>
  <si>
    <t>エデュプラス</t>
  </si>
  <si>
    <t>MNW</t>
  </si>
  <si>
    <t>INT</t>
  </si>
  <si>
    <t>アンインターナショナル</t>
  </si>
  <si>
    <t>EKT</t>
  </si>
  <si>
    <t>英検対策</t>
    <rPh sb="0" eb="4">
      <t>エイケンタイサク</t>
    </rPh>
    <phoneticPr fontId="1"/>
  </si>
  <si>
    <t>SEK</t>
  </si>
  <si>
    <t>須田英検対策</t>
    <rPh sb="0" eb="2">
      <t>スダ</t>
    </rPh>
    <rPh sb="2" eb="4">
      <t>エイケン</t>
    </rPh>
    <rPh sb="4" eb="6">
      <t>タイサク</t>
    </rPh>
    <phoneticPr fontId="1"/>
  </si>
  <si>
    <t>EKN</t>
  </si>
  <si>
    <t>英語検定</t>
    <rPh sb="0" eb="4">
      <t>エイゴケンテイ</t>
    </rPh>
    <phoneticPr fontId="1"/>
  </si>
  <si>
    <t>SKC</t>
  </si>
  <si>
    <t>SKK</t>
  </si>
  <si>
    <t>AZE</t>
  </si>
  <si>
    <t>アンゼストプログラム入会金無料の契約です</t>
    <rPh sb="10" eb="15">
      <t>ニュウカイキンムリョウ</t>
    </rPh>
    <rPh sb="16" eb="18">
      <t>ケイヤク</t>
    </rPh>
    <phoneticPr fontId="1"/>
  </si>
  <si>
    <t>PUL</t>
  </si>
  <si>
    <t>プラチナステージ</t>
  </si>
  <si>
    <t>AES</t>
  </si>
  <si>
    <t>アンイングリッシュクラブ_サクセス</t>
  </si>
  <si>
    <t>SOS</t>
  </si>
  <si>
    <t>アンそろばんクラブ_サクセス</t>
  </si>
  <si>
    <t>BMS</t>
  </si>
  <si>
    <t>アン美文字クラブ_サクセス</t>
  </si>
  <si>
    <t>PRS</t>
  </si>
  <si>
    <t>アンプログラミングクラブ_サクセス</t>
  </si>
  <si>
    <t>SHS</t>
  </si>
  <si>
    <t>アン将棋クラブ_サクセス</t>
  </si>
  <si>
    <t>AGS</t>
  </si>
  <si>
    <t>アンイングリッシュグラマー_サクセス</t>
  </si>
  <si>
    <t>MPS</t>
  </si>
  <si>
    <t>まなびパック_サクセス</t>
  </si>
  <si>
    <t>MWS</t>
  </si>
  <si>
    <t>アンまなびワールド_サクセス</t>
  </si>
  <si>
    <t>FES</t>
  </si>
  <si>
    <t>附小サクセス</t>
    <rPh sb="0" eb="2">
      <t>フショウ</t>
    </rPh>
    <phoneticPr fontId="1"/>
  </si>
  <si>
    <t>SFE</t>
  </si>
  <si>
    <t>サクセス附小専科</t>
    <rPh sb="4" eb="6">
      <t>フショウ</t>
    </rPh>
    <rPh sb="6" eb="8">
      <t>センカ</t>
    </rPh>
    <phoneticPr fontId="1"/>
  </si>
  <si>
    <t>SJJ</t>
  </si>
  <si>
    <t>サクセス附中受験科</t>
    <rPh sb="4" eb="9">
      <t>フチュウジュケンカ</t>
    </rPh>
    <phoneticPr fontId="1"/>
  </si>
  <si>
    <t>SFJ</t>
  </si>
  <si>
    <t>サクセス附中専科</t>
    <rPh sb="4" eb="6">
      <t>フチュウ</t>
    </rPh>
    <rPh sb="6" eb="8">
      <t>センカ</t>
    </rPh>
    <phoneticPr fontId="1"/>
  </si>
  <si>
    <t>サクセス中学部</t>
    <rPh sb="4" eb="7">
      <t>チュウガクブ</t>
    </rPh>
    <phoneticPr fontId="1"/>
  </si>
  <si>
    <t>SEL</t>
  </si>
  <si>
    <t>サクセス小学部</t>
    <rPh sb="4" eb="7">
      <t>ショウガクブ</t>
    </rPh>
    <phoneticPr fontId="1"/>
  </si>
  <si>
    <t>JSJ</t>
  </si>
  <si>
    <t>公立中高一貫校受験科</t>
    <rPh sb="0" eb="2">
      <t>コウリツ</t>
    </rPh>
    <rPh sb="2" eb="4">
      <t>チュウコウ</t>
    </rPh>
    <rPh sb="4" eb="7">
      <t>イッカンコウ</t>
    </rPh>
    <rPh sb="7" eb="9">
      <t>ジュケン</t>
    </rPh>
    <rPh sb="9" eb="10">
      <t>カ</t>
    </rPh>
    <phoneticPr fontId="1"/>
  </si>
  <si>
    <t>SJU</t>
  </si>
  <si>
    <t>SHI</t>
  </si>
  <si>
    <t>サクセス高校部</t>
    <rPh sb="4" eb="6">
      <t>コウコウ</t>
    </rPh>
    <phoneticPr fontId="1"/>
  </si>
  <si>
    <t>AEK</t>
  </si>
  <si>
    <t>アンイングリッシュクラブ_キタン塾</t>
    <rPh sb="16" eb="17">
      <t>ジュク</t>
    </rPh>
    <phoneticPr fontId="1"/>
  </si>
  <si>
    <t>ニックネーム(アプリ表示など、場所がない場合の短縮形)</t>
  </si>
  <si>
    <t>科目</t>
  </si>
  <si>
    <t>アン</t>
  </si>
  <si>
    <t>英語（英会話）</t>
    <rPh sb="0" eb="2">
      <t>エイゴ</t>
    </rPh>
    <phoneticPr fontId="1"/>
  </si>
  <si>
    <t>そろ</t>
  </si>
  <si>
    <t>そろばん</t>
  </si>
  <si>
    <t>美文字</t>
  </si>
  <si>
    <t>習字</t>
  </si>
  <si>
    <t>なかざわ書道</t>
    <rPh sb="4" eb="6">
      <t>ショドウ</t>
    </rPh>
    <phoneticPr fontId="1"/>
  </si>
  <si>
    <t>習字</t>
    <rPh sb="0" eb="2">
      <t>シュウジ</t>
    </rPh>
    <phoneticPr fontId="1"/>
  </si>
  <si>
    <t>プロ</t>
  </si>
  <si>
    <t>プログラミング</t>
  </si>
  <si>
    <t>将棋</t>
  </si>
  <si>
    <t>キッズ</t>
  </si>
  <si>
    <t>塾（幼児）</t>
  </si>
  <si>
    <t>塾（小学生）</t>
  </si>
  <si>
    <t>進学ジム小</t>
  </si>
  <si>
    <t>進学ジム中</t>
  </si>
  <si>
    <t>塾（中学生）</t>
  </si>
  <si>
    <t>進学ジム高</t>
    <rPh sb="4" eb="5">
      <t>ダカ</t>
    </rPh>
    <phoneticPr fontId="1"/>
  </si>
  <si>
    <t>塾（高校生）</t>
    <rPh sb="2" eb="4">
      <t>コウコウ</t>
    </rPh>
    <phoneticPr fontId="1"/>
  </si>
  <si>
    <t>算国</t>
  </si>
  <si>
    <t>マ学院</t>
  </si>
  <si>
    <t>中受検千</t>
  </si>
  <si>
    <t>塾（中学受験）</t>
    <rPh sb="0" eb="1">
      <t>ジュク</t>
    </rPh>
    <phoneticPr fontId="1"/>
  </si>
  <si>
    <t>学力向上</t>
  </si>
  <si>
    <t>須田塾（小学生）</t>
    <rPh sb="0" eb="3">
      <t>スダジュク</t>
    </rPh>
    <rPh sb="4" eb="7">
      <t>ショウガクセイ</t>
    </rPh>
    <phoneticPr fontId="1"/>
  </si>
  <si>
    <t>選抜小</t>
  </si>
  <si>
    <t>選抜中</t>
  </si>
  <si>
    <t>須田塾（中学生）</t>
    <rPh sb="0" eb="3">
      <t>スダジュク</t>
    </rPh>
    <rPh sb="4" eb="7">
      <t>チュウガクセイ</t>
    </rPh>
    <phoneticPr fontId="1"/>
  </si>
  <si>
    <t>志望校</t>
  </si>
  <si>
    <t>須田塾高</t>
    <rPh sb="0" eb="3">
      <t>スダジュク</t>
    </rPh>
    <phoneticPr fontId="1"/>
  </si>
  <si>
    <t>幼児教育</t>
  </si>
  <si>
    <t>合格サクセス</t>
    <rPh sb="0" eb="2">
      <t>ゴウカク</t>
    </rPh>
    <phoneticPr fontId="1"/>
  </si>
  <si>
    <t>塾（個別）</t>
    <rPh sb="0" eb="1">
      <t>ジュク</t>
    </rPh>
    <rPh sb="2" eb="4">
      <t>コベツ</t>
    </rPh>
    <phoneticPr fontId="1"/>
  </si>
  <si>
    <t>エデュ</t>
  </si>
  <si>
    <t>WEB学習（小学生）</t>
  </si>
  <si>
    <t>学童</t>
  </si>
  <si>
    <t>総合学習</t>
    <rPh sb="0" eb="4">
      <t>ソウゴウガクシュウ</t>
    </rPh>
    <phoneticPr fontId="1"/>
  </si>
  <si>
    <t>インター</t>
  </si>
  <si>
    <t>インターナショナル</t>
  </si>
  <si>
    <t>英検/教室</t>
    <rPh sb="3" eb="5">
      <t>キョウシツ</t>
    </rPh>
    <phoneticPr fontId="1"/>
  </si>
  <si>
    <t>英語（英検）</t>
    <rPh sb="0" eb="2">
      <t>エイゴ</t>
    </rPh>
    <rPh sb="3" eb="5">
      <t>エイケン</t>
    </rPh>
    <phoneticPr fontId="1"/>
  </si>
  <si>
    <t>須田塾（英検）</t>
    <rPh sb="0" eb="3">
      <t>スダジュク</t>
    </rPh>
    <rPh sb="4" eb="6">
      <t>エイケン</t>
    </rPh>
    <phoneticPr fontId="1"/>
  </si>
  <si>
    <t>英検</t>
    <rPh sb="0" eb="2">
      <t>エイケン</t>
    </rPh>
    <phoneticPr fontId="1"/>
  </si>
  <si>
    <t>外部検定</t>
  </si>
  <si>
    <t>そろ検</t>
  </si>
  <si>
    <t>そろばん【検定】</t>
  </si>
  <si>
    <t>ゼスト</t>
  </si>
  <si>
    <t>プラチナ</t>
  </si>
  <si>
    <t>大人の習い事</t>
    <rPh sb="0" eb="2">
      <t>オトナ</t>
    </rPh>
    <rPh sb="3" eb="4">
      <t>ナラ</t>
    </rPh>
    <rPh sb="5" eb="6">
      <t>ゴト</t>
    </rPh>
    <phoneticPr fontId="1"/>
  </si>
  <si>
    <t>アン_サク</t>
  </si>
  <si>
    <t>英語（英会話）</t>
  </si>
  <si>
    <t>そろ_サク</t>
  </si>
  <si>
    <t>美文字_サク</t>
  </si>
  <si>
    <t>プロ_サク</t>
  </si>
  <si>
    <t>将棋_サク</t>
  </si>
  <si>
    <t>グラマー_サク</t>
  </si>
  <si>
    <t>英語（英語学習）</t>
    <rPh sb="0" eb="2">
      <t>エイゴ</t>
    </rPh>
    <rPh sb="3" eb="5">
      <t>エイゴ</t>
    </rPh>
    <rPh sb="5" eb="7">
      <t>ガクシュウ</t>
    </rPh>
    <phoneticPr fontId="1"/>
  </si>
  <si>
    <t>まなびパ_サク</t>
  </si>
  <si>
    <t>まなびワ_サク</t>
  </si>
  <si>
    <t>附小サク</t>
    <rPh sb="0" eb="2">
      <t>フショウ</t>
    </rPh>
    <phoneticPr fontId="1"/>
  </si>
  <si>
    <t>附小生アフタースクール</t>
    <rPh sb="0" eb="2">
      <t>フショウ</t>
    </rPh>
    <rPh sb="2" eb="3">
      <t>セイ</t>
    </rPh>
    <phoneticPr fontId="1"/>
  </si>
  <si>
    <t>附小専</t>
    <rPh sb="0" eb="2">
      <t>フショウ</t>
    </rPh>
    <rPh sb="2" eb="3">
      <t>セン</t>
    </rPh>
    <phoneticPr fontId="1"/>
  </si>
  <si>
    <t>附中受</t>
    <rPh sb="0" eb="2">
      <t>フチュウ</t>
    </rPh>
    <rPh sb="2" eb="3">
      <t>ウケ</t>
    </rPh>
    <phoneticPr fontId="1"/>
  </si>
  <si>
    <t>塾（附中受験）</t>
    <rPh sb="2" eb="4">
      <t>フチュウ</t>
    </rPh>
    <rPh sb="4" eb="6">
      <t>ジュケン</t>
    </rPh>
    <phoneticPr fontId="1"/>
  </si>
  <si>
    <t>附中専</t>
    <rPh sb="0" eb="2">
      <t>フチュウ</t>
    </rPh>
    <rPh sb="2" eb="3">
      <t>セン</t>
    </rPh>
    <phoneticPr fontId="1"/>
  </si>
  <si>
    <t>塾（附中生）</t>
    <rPh sb="2" eb="4">
      <t>フチュウ</t>
    </rPh>
    <phoneticPr fontId="1"/>
  </si>
  <si>
    <t>サクセス小</t>
    <rPh sb="4" eb="5">
      <t>ショウ</t>
    </rPh>
    <phoneticPr fontId="1"/>
  </si>
  <si>
    <t>塾（小学生）</t>
    <rPh sb="0" eb="1">
      <t>ジュク</t>
    </rPh>
    <rPh sb="2" eb="5">
      <t>ショウガクセイ</t>
    </rPh>
    <phoneticPr fontId="1"/>
  </si>
  <si>
    <t>公立中高一貫</t>
    <rPh sb="0" eb="2">
      <t>コウリツ</t>
    </rPh>
    <rPh sb="2" eb="6">
      <t>チュウコウイッカン</t>
    </rPh>
    <phoneticPr fontId="1"/>
  </si>
  <si>
    <t>塾（公立中受験）</t>
    <rPh sb="2" eb="4">
      <t>コウリツ</t>
    </rPh>
    <rPh sb="4" eb="5">
      <t>チュウ</t>
    </rPh>
    <rPh sb="5" eb="7">
      <t>ジュケン</t>
    </rPh>
    <phoneticPr fontId="1"/>
  </si>
  <si>
    <t>サクセス中</t>
    <rPh sb="4" eb="5">
      <t>チュウ</t>
    </rPh>
    <phoneticPr fontId="1"/>
  </si>
  <si>
    <t>サクセス高</t>
    <rPh sb="4" eb="5">
      <t>ダカ</t>
    </rPh>
    <phoneticPr fontId="1"/>
  </si>
  <si>
    <t>アン_キタン</t>
  </si>
  <si>
    <t>OZA_ID</t>
    <phoneticPr fontId="1"/>
  </si>
  <si>
    <t>アンそろばんクラブ</t>
    <phoneticPr fontId="1"/>
  </si>
  <si>
    <t>アン美文字クラブ</t>
    <phoneticPr fontId="1"/>
  </si>
  <si>
    <t>アンプログラミングクラブ</t>
    <phoneticPr fontId="1"/>
  </si>
  <si>
    <t>アン将棋クラブ</t>
    <phoneticPr fontId="1"/>
  </si>
  <si>
    <t>アンさんこくキッズ</t>
    <phoneticPr fontId="1"/>
  </si>
  <si>
    <t>マンツーマン学院</t>
    <phoneticPr fontId="1"/>
  </si>
  <si>
    <t>そろばん  クラス検定</t>
    <phoneticPr fontId="1"/>
  </si>
  <si>
    <t>そろばん  個別検定</t>
    <phoneticPr fontId="1"/>
  </si>
  <si>
    <t>アンまなびワールド</t>
    <phoneticPr fontId="1"/>
  </si>
  <si>
    <t>DATA作成　注意事項</t>
    <rPh sb="4" eb="6">
      <t>サクセイ</t>
    </rPh>
    <rPh sb="7" eb="11">
      <t>チュウイジコウ</t>
    </rPh>
    <phoneticPr fontId="1"/>
  </si>
  <si>
    <t>説明</t>
    <rPh sb="0" eb="2">
      <t>セツメイ</t>
    </rPh>
    <phoneticPr fontId="1"/>
  </si>
  <si>
    <t>T12_ブランド情報_社長</t>
    <rPh sb="11" eb="13">
      <t>シャチョウ</t>
    </rPh>
    <phoneticPr fontId="1"/>
  </si>
  <si>
    <t>T12_ブランド情報_真由美</t>
    <phoneticPr fontId="1"/>
  </si>
  <si>
    <t>ClassブランドID</t>
    <phoneticPr fontId="1"/>
  </si>
  <si>
    <t>Classブランド名</t>
    <rPh sb="9" eb="10">
      <t>メイ</t>
    </rPh>
    <phoneticPr fontId="1"/>
  </si>
  <si>
    <t>契約ブランド名</t>
    <rPh sb="0" eb="2">
      <t>ケイヤク</t>
    </rPh>
    <rPh sb="6" eb="7">
      <t>メイ</t>
    </rPh>
    <phoneticPr fontId="1"/>
  </si>
  <si>
    <t>幼児教育のサクセス_サクセス</t>
  </si>
  <si>
    <t>幼教SKY</t>
    <phoneticPr fontId="1"/>
  </si>
  <si>
    <t>幼教サクセス</t>
    <phoneticPr fontId="1"/>
  </si>
  <si>
    <t>B10002</t>
  </si>
  <si>
    <t>B10094</t>
  </si>
  <si>
    <t>B10166</t>
  </si>
  <si>
    <t>B10058</t>
  </si>
  <si>
    <t>B10122</t>
  </si>
  <si>
    <t>B10011</t>
  </si>
  <si>
    <t>B10015</t>
  </si>
  <si>
    <t>B10016</t>
  </si>
  <si>
    <t>B10153</t>
  </si>
  <si>
    <t>B10014</t>
  </si>
  <si>
    <t>B10017</t>
  </si>
  <si>
    <t>B10028</t>
  </si>
  <si>
    <t>B10082</t>
  </si>
  <si>
    <t>B10080</t>
  </si>
  <si>
    <t>B10083</t>
  </si>
  <si>
    <t>B10071</t>
  </si>
  <si>
    <t>B10157</t>
  </si>
  <si>
    <t>B10155</t>
  </si>
  <si>
    <t>B10027</t>
  </si>
  <si>
    <t>B10135</t>
  </si>
  <si>
    <t>B10004</t>
  </si>
  <si>
    <t>B10160</t>
  </si>
  <si>
    <t>B10170</t>
  </si>
  <si>
    <t>B10171</t>
  </si>
  <si>
    <t>B10167</t>
  </si>
  <si>
    <t>B10168</t>
  </si>
  <si>
    <t>B10169</t>
  </si>
  <si>
    <t>B10172</t>
  </si>
  <si>
    <t>アンイングリッシュグラマー</t>
  </si>
  <si>
    <t>まなびパ</t>
    <phoneticPr fontId="1"/>
  </si>
  <si>
    <t>まなびワ</t>
    <phoneticPr fontId="1"/>
  </si>
  <si>
    <t>まなびパック</t>
    <phoneticPr fontId="1"/>
  </si>
  <si>
    <t>アンまなびワールド</t>
    <phoneticPr fontId="1"/>
  </si>
  <si>
    <t>契約ブランドID</t>
    <rPh sb="0" eb="2">
      <t>ケイヤク</t>
    </rPh>
    <phoneticPr fontId="1"/>
  </si>
  <si>
    <t>MNP</t>
    <phoneticPr fontId="1"/>
  </si>
  <si>
    <t>SCC</t>
    <phoneticPr fontId="1"/>
  </si>
  <si>
    <t>B10225</t>
  </si>
  <si>
    <t>B10225</t>
    <phoneticPr fontId="1"/>
  </si>
  <si>
    <t>B10001</t>
  </si>
  <si>
    <t>B10154</t>
  </si>
  <si>
    <t>B10173</t>
  </si>
  <si>
    <t>B10300</t>
    <phoneticPr fontId="1"/>
  </si>
  <si>
    <t>B10301</t>
  </si>
  <si>
    <t>B10302</t>
  </si>
  <si>
    <t>B10303</t>
  </si>
  <si>
    <t>B10304</t>
  </si>
  <si>
    <t>B10305</t>
  </si>
  <si>
    <t>B10306</t>
    <phoneticPr fontId="1"/>
  </si>
  <si>
    <t>B10307</t>
  </si>
  <si>
    <t>B10307</t>
    <phoneticPr fontId="1"/>
  </si>
  <si>
    <t>アングラマー</t>
    <phoneticPr fontId="1"/>
  </si>
  <si>
    <t>AGM</t>
    <phoneticPr fontId="1"/>
  </si>
  <si>
    <t>表示フラグ</t>
    <rPh sb="0" eb="2">
      <t>ヒョウジ</t>
    </rPh>
    <phoneticPr fontId="1"/>
  </si>
  <si>
    <t>1：保護者表示　2：管理画面のみ（保護者画面非表示）3：保護者画面表示だがフラグのみ　ブランドとして機能しない</t>
    <rPh sb="2" eb="5">
      <t>ホゴシャ</t>
    </rPh>
    <rPh sb="5" eb="7">
      <t>ヒョウジ</t>
    </rPh>
    <rPh sb="10" eb="14">
      <t>カンリガメン</t>
    </rPh>
    <rPh sb="17" eb="22">
      <t>ホゴシャガメン</t>
    </rPh>
    <rPh sb="22" eb="25">
      <t>ヒヒョウジ</t>
    </rPh>
    <rPh sb="28" eb="33">
      <t>ホゴシャガメン</t>
    </rPh>
    <rPh sb="33" eb="35">
      <t>ヒョウジ</t>
    </rPh>
    <rPh sb="50" eb="52">
      <t>キノウ</t>
    </rPh>
    <phoneticPr fontId="1"/>
  </si>
  <si>
    <t>契約金の表示「契約DATA」で利用しているブランドID　同じアンでも金額が違うから分ける。</t>
    <rPh sb="0" eb="2">
      <t>ケイヤク</t>
    </rPh>
    <rPh sb="2" eb="3">
      <t>キン</t>
    </rPh>
    <rPh sb="4" eb="6">
      <t>ヒョウジ</t>
    </rPh>
    <rPh sb="7" eb="9">
      <t>ケイヤク</t>
    </rPh>
    <rPh sb="15" eb="17">
      <t>リヨウ</t>
    </rPh>
    <rPh sb="28" eb="29">
      <t>オナ</t>
    </rPh>
    <rPh sb="34" eb="36">
      <t>キンガク</t>
    </rPh>
    <rPh sb="37" eb="38">
      <t>チガ</t>
    </rPh>
    <rPh sb="41" eb="42">
      <t>ワ</t>
    </rPh>
    <phoneticPr fontId="1"/>
  </si>
  <si>
    <t>ﾌﾞﾗﾝﾄﾞの「短縮」　名前が長いから、アプリ表示の時にこれを使いたい。</t>
    <rPh sb="8" eb="10">
      <t>タンシュク</t>
    </rPh>
    <rPh sb="12" eb="14">
      <t>ナマエ</t>
    </rPh>
    <rPh sb="15" eb="16">
      <t>ナガ</t>
    </rPh>
    <rPh sb="23" eb="25">
      <t>ヒョウジ</t>
    </rPh>
    <rPh sb="26" eb="27">
      <t>トキ</t>
    </rPh>
    <rPh sb="31" eb="32">
      <t>ツカ</t>
    </rPh>
    <phoneticPr fontId="1"/>
  </si>
  <si>
    <t>科目は、　定義と同じ</t>
    <rPh sb="0" eb="2">
      <t>カモク</t>
    </rPh>
    <rPh sb="5" eb="7">
      <t>テイギ</t>
    </rPh>
    <rPh sb="8" eb="9">
      <t>オナ</t>
    </rPh>
    <phoneticPr fontId="1"/>
  </si>
  <si>
    <t>授業クラスに使うID　時間割とか、ユーザークラスなどに使います。</t>
    <rPh sb="0" eb="2">
      <t>ジュギョウ</t>
    </rPh>
    <rPh sb="6" eb="7">
      <t>ツカ</t>
    </rPh>
    <rPh sb="11" eb="14">
      <t>ジカンワリ</t>
    </rPh>
    <rPh sb="27" eb="28">
      <t>ツカ</t>
    </rPh>
    <phoneticPr fontId="1"/>
  </si>
  <si>
    <t>同上</t>
    <rPh sb="0" eb="2">
      <t>ドウジョウ</t>
    </rPh>
    <phoneticPr fontId="1"/>
  </si>
  <si>
    <t>アンイングリッシュグラマー</t>
    <phoneticPr fontId="1"/>
  </si>
  <si>
    <t>須田塾 志望校合格コース</t>
  </si>
  <si>
    <t>須田塾  小学生選抜クラス</t>
  </si>
  <si>
    <t>須田塾 小学生学力向上コース</t>
  </si>
  <si>
    <t>須田塾  中学生選抜コース</t>
  </si>
  <si>
    <t>須田塾【高校部】</t>
  </si>
  <si>
    <t>ブランド記号</t>
    <rPh sb="4" eb="6">
      <t>キゴウ</t>
    </rPh>
    <phoneticPr fontId="1"/>
  </si>
  <si>
    <t>ブランド</t>
    <phoneticPr fontId="1"/>
  </si>
  <si>
    <t>OZA_ID</t>
  </si>
  <si>
    <t>表示フラグ</t>
  </si>
  <si>
    <t>ClassブランドID</t>
  </si>
  <si>
    <t>Classブランド名</t>
  </si>
  <si>
    <t>アンそろばんクラブ</t>
  </si>
  <si>
    <t>アン美文字クラブ</t>
  </si>
  <si>
    <t>なかざわ書道</t>
  </si>
  <si>
    <t>アンプログラミングクラブ</t>
  </si>
  <si>
    <t>アン将棋クラブ</t>
  </si>
  <si>
    <t>アンさんこくキッズ</t>
  </si>
  <si>
    <t>アン進学ジム【高校部】</t>
  </si>
  <si>
    <t>進学ジム高</t>
  </si>
  <si>
    <t>塾（高校生）</t>
  </si>
  <si>
    <t>マンツーマン学院</t>
  </si>
  <si>
    <t>塾（中学受験）</t>
  </si>
  <si>
    <t>須田塾（小学生）</t>
  </si>
  <si>
    <t>須田塾（中学生）</t>
  </si>
  <si>
    <t>須田塾高</t>
  </si>
  <si>
    <t>須田塾 高校部</t>
  </si>
  <si>
    <t>幼教SKY</t>
  </si>
  <si>
    <t>アン合格サクセス</t>
  </si>
  <si>
    <t>合格サクセス</t>
  </si>
  <si>
    <t>塾（個別）</t>
  </si>
  <si>
    <t>MNP</t>
  </si>
  <si>
    <t>まなびパック</t>
  </si>
  <si>
    <t>まなびパ</t>
  </si>
  <si>
    <t>総合学習</t>
  </si>
  <si>
    <t>アンまなびワールド</t>
  </si>
  <si>
    <t>まなびワ</t>
  </si>
  <si>
    <t>英検対策</t>
  </si>
  <si>
    <t>英検/教室</t>
  </si>
  <si>
    <t>英語（英検）</t>
  </si>
  <si>
    <t>B10300</t>
  </si>
  <si>
    <t>須田英検対策</t>
  </si>
  <si>
    <t>須田塾（英検）</t>
  </si>
  <si>
    <t>英語検定</t>
  </si>
  <si>
    <t>英検</t>
  </si>
  <si>
    <t>そろばん  クラス検定</t>
  </si>
  <si>
    <t>そろばん  個別検定</t>
  </si>
  <si>
    <t>アンゼストプログラム入会金無料の契約です</t>
  </si>
  <si>
    <t/>
  </si>
  <si>
    <t>大人の習い事</t>
  </si>
  <si>
    <t>英語（英語学習）</t>
  </si>
  <si>
    <t>附小サクセス</t>
  </si>
  <si>
    <t>附小サク</t>
  </si>
  <si>
    <t>附小生アフタースクール</t>
  </si>
  <si>
    <t>サクセス附小専科</t>
  </si>
  <si>
    <t>附小専</t>
  </si>
  <si>
    <t>サクセス附中受験科</t>
  </si>
  <si>
    <t>附中受</t>
  </si>
  <si>
    <t>塾（附中受験）</t>
  </si>
  <si>
    <t>サクセス附中専科</t>
  </si>
  <si>
    <t>附中専</t>
  </si>
  <si>
    <t>塾（附中生）</t>
  </si>
  <si>
    <t>B10306</t>
  </si>
  <si>
    <t>サクセス小学部</t>
  </si>
  <si>
    <t>サクセス小</t>
  </si>
  <si>
    <t>公立中高一貫校受験科</t>
  </si>
  <si>
    <t>公立中高一貫</t>
  </si>
  <si>
    <t>塾（公立中受験）</t>
  </si>
  <si>
    <t>サクセス中学部</t>
  </si>
  <si>
    <t>サクセス中</t>
  </si>
  <si>
    <t>サクセス高校部</t>
  </si>
  <si>
    <t>サクセス高</t>
  </si>
  <si>
    <t>アンイングリッシュクラブ_キタン塾</t>
  </si>
  <si>
    <t>SCC</t>
  </si>
  <si>
    <t>幼教サクセス</t>
  </si>
  <si>
    <t>AGM</t>
  </si>
  <si>
    <t>アングラマー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</si>
</sst>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4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5" borderId="1" xfId="0" applyFont="1" applyFill="1" applyBorder="1">
      <alignment vertical="center"/>
    </xf>
    <xf numFmtId="0" fontId="4" fillId="5" borderId="0" xfId="0" applyFont="1" applyFill="1">
      <alignment vertical="center"/>
    </xf>
  </cellXfs>
  <cellStyles count="2">
    <cellStyle name="標準" xfId="0" builtinId="0"/>
    <cellStyle name="標準 2" xfId="1" xr:uid="{9F886134-0D42-4349-84A4-5E38337E308D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1517;&#22823;SKY\02&#12450;&#12531;&#12452;&#12531;&#12464;&#12522;&#12483;&#12471;&#12517;&#12463;&#12521;&#12502;&#65288;&#25945;&#26448;&#12539;&#12510;&#12491;&#12517;&#12450;&#12523;&#12539;&#22806;&#22269;&#20154;VISA&#12394;&#12393;&#65289;_&#37428;&#26408;\01-1&#12473;&#12465;&#12472;&#12517;&#12540;&#12523;\2016&#24180;&#24230;\&#12371;&#12428;&#12434;&#20351;&#29992;&#26032;&#12473;&#12465;&#12472;&#12517;&#12540;&#12523;20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1\share\Mayumi&#12364;&#20316;&#12387;&#12383;&#12471;&#12473;&#12486;&#12512;2\OZA&#12363;&#12425;&#12398;&#32102;&#19982;&#35336;&#31639;&#26360;\&#12304;&#26368;&#26032;&#12305;2021&#24180;4&#26376;&#20998;&#12363;&#12425;&#12399;&#12467;&#12524;&#12288;&#12450;&#12531;&#26085;&#26412;&#20154;&#35611;&#24107;&#32102;&#19982;&#30003;&#21578;&#26360;&#65288;2021.4&#25913;&#35330;&#65289;%20-%20&#12467;&#12500;&#1254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1\share\_&#9733;20170701&#20316;&#26989;&#29992;\58&#22478;&#30000;\&#12304;&#9733;&#32076;&#29702;&#38306;&#20418;&#12305;\&#9733;&#21517;&#22823;SKY\&#12304;&#26412;&#35336;&#31639;&#12305;&#12481;&#12455;&#12483;&#12463;\2023&#24180;&#24230;\4&#26376;\&#9733;&#26376;&#35613;&#30906;&#35469;&#29992;_&#19968;&#25324;DATA_&#26376;&#35613;&#12539;&#26376;&#20250;&#36027;&#12539;&#31354;&#35519;&#36027;&#30906;&#35469;2023031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9733;Oza%20New%20Plan\&#12304;&#21021;&#26399;&#23566;&#20837;&#12475;&#12483;&#12488;&#12305;\&#12450;&#12531;&#12501;&#12449;&#12531;\&#12304;&#12450;&#12531;&#12501;&#12449;&#12531;&#27096;&#12305;&#12510;&#12473;&#12479;&#38598;&#12288;&#23436;&#25104;&#29256;2019.6.1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31038;&#38263;&#12408;clean_output\&#9733;4_ID&#12356;&#12429;&#12356;&#12429;_Vol2.xlsx" TargetMode="External"/><Relationship Id="rId1" Type="http://schemas.openxmlformats.org/officeDocument/2006/relationships/externalLinkPath" Target="/Users/USER/Desktop/&#31038;&#38263;&#12408;clean_output/&#9733;4_ID&#12356;&#12429;&#12356;&#12429;_Vol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クラスＩＤ12.29更新"/>
      <sheetName val="クラスＩＤ12.24更新"/>
      <sheetName val="クラスＩＤ12.22更新"/>
      <sheetName val="クラスＩＤ12.21更新1010"/>
      <sheetName val="12.29 HPアップ後修正した"/>
      <sheetName val="12.24 HPアップ用"/>
      <sheetName val="12.22改訂3版保護者用"/>
      <sheetName val="12.19改訂3版近郊校舎あり　保護者用"/>
      <sheetName val="12.17改訂3版近郊校舎あり　保護者用"/>
      <sheetName val="12.01改訂版近郊校舎あり　保護者用"/>
      <sheetName val="11.30改訂版近郊校舎あり　保護者用"/>
      <sheetName val="11.30改訂版　保護者用（申込方法付）"/>
      <sheetName val="11.26改訂版　保護者用（申込方法付）"/>
      <sheetName val="11.24改訂版　保護者用（申込方法付）"/>
      <sheetName val="11.4保護者用（申込方法付）"/>
      <sheetName val="11.4内部用 "/>
      <sheetName val="11.2保護者用（申込方法付）"/>
      <sheetName val="10.27保護者用（申込方法付）"/>
      <sheetName val="10.27保護者用"/>
      <sheetName val="10.27内部用"/>
      <sheetName val="10.26"/>
      <sheetName val="10.16会議使用"/>
      <sheetName val="2016作成10.26保留クラスあり (校舎4桁に変更"/>
      <sheetName val="2016作成10.13保留クラスあり (校舎4桁に変更)"/>
      <sheetName val="クラスＩＤ11.4更新"/>
      <sheetName val="2016作成10.8保留クラスあり"/>
      <sheetName val="2016作成中10.6"/>
      <sheetName val="2016作成中9.9"/>
      <sheetName val="2016作成中9.8"/>
      <sheetName val="グレード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M1" t="str">
            <v>曜日番号</v>
          </cell>
          <cell r="T1" t="str">
            <v>校舎ID</v>
          </cell>
          <cell r="U1" t="str">
            <v>校舎名</v>
          </cell>
          <cell r="X1" t="str">
            <v>グレードクラスID</v>
          </cell>
          <cell r="Y1" t="str">
            <v>クラス名</v>
          </cell>
        </row>
        <row r="2">
          <cell r="P2" t="str">
            <v>Pink</v>
          </cell>
          <cell r="Q2">
            <v>11</v>
          </cell>
          <cell r="S2" t="str">
            <v>11</v>
          </cell>
          <cell r="T2">
            <v>1011</v>
          </cell>
          <cell r="U2" t="str">
            <v>尾張旭校</v>
          </cell>
          <cell r="X2">
            <v>2160000</v>
          </cell>
          <cell r="Y2" t="str">
            <v>未登録</v>
          </cell>
        </row>
        <row r="3">
          <cell r="P3" t="str">
            <v>White</v>
          </cell>
          <cell r="Q3">
            <v>23</v>
          </cell>
          <cell r="S3" t="str">
            <v>12</v>
          </cell>
          <cell r="T3">
            <v>1012</v>
          </cell>
          <cell r="U3" t="str">
            <v>吉根校</v>
          </cell>
          <cell r="X3">
            <v>2160111</v>
          </cell>
          <cell r="Y3" t="str">
            <v>Pink-Baby Angel_ペア</v>
          </cell>
        </row>
        <row r="4">
          <cell r="P4" t="str">
            <v>Purple A　</v>
          </cell>
          <cell r="Q4">
            <v>24</v>
          </cell>
          <cell r="S4" t="str">
            <v>13</v>
          </cell>
          <cell r="T4">
            <v>1013</v>
          </cell>
          <cell r="U4" t="str">
            <v>小幡校</v>
          </cell>
          <cell r="X4">
            <v>2160112</v>
          </cell>
          <cell r="Y4" t="str">
            <v>Pink-Baby Angel_リレー</v>
          </cell>
        </row>
        <row r="5">
          <cell r="P5" t="str">
            <v>Yellow</v>
          </cell>
          <cell r="Q5">
            <v>33</v>
          </cell>
          <cell r="S5" t="str">
            <v>14</v>
          </cell>
          <cell r="T5">
            <v>1014</v>
          </cell>
          <cell r="U5" t="str">
            <v>喜多山校</v>
          </cell>
          <cell r="X5">
            <v>2160231</v>
          </cell>
          <cell r="Y5" t="str">
            <v>White-Apple_ペア</v>
          </cell>
        </row>
        <row r="6">
          <cell r="P6" t="str">
            <v>Red</v>
          </cell>
          <cell r="Q6">
            <v>38</v>
          </cell>
          <cell r="S6" t="str">
            <v>15</v>
          </cell>
          <cell r="T6">
            <v>1015</v>
          </cell>
          <cell r="U6" t="str">
            <v>名東本部校</v>
          </cell>
          <cell r="X6">
            <v>2160232</v>
          </cell>
          <cell r="Y6" t="str">
            <v>White-Apple_リレー</v>
          </cell>
        </row>
        <row r="7">
          <cell r="P7" t="str">
            <v>TOEICジュニア</v>
          </cell>
          <cell r="Q7">
            <v>74</v>
          </cell>
          <cell r="S7" t="str">
            <v>16</v>
          </cell>
          <cell r="T7">
            <v>1016</v>
          </cell>
          <cell r="U7" t="str">
            <v>本山校</v>
          </cell>
          <cell r="X7">
            <v>2160241</v>
          </cell>
          <cell r="Y7" t="str">
            <v>Purple-PurpleA_ペア</v>
          </cell>
        </row>
        <row r="8">
          <cell r="P8" t="str">
            <v>TOEIC</v>
          </cell>
          <cell r="Q8">
            <v>75</v>
          </cell>
          <cell r="S8" t="str">
            <v>18</v>
          </cell>
          <cell r="T8">
            <v>1018</v>
          </cell>
          <cell r="U8" t="str">
            <v>千種谷口校</v>
          </cell>
          <cell r="X8">
            <v>2160242</v>
          </cell>
          <cell r="Y8" t="str">
            <v>Purple-PurpleA_リレー</v>
          </cell>
        </row>
        <row r="9">
          <cell r="P9" t="str">
            <v>保留クラス</v>
          </cell>
          <cell r="Q9">
            <v>99</v>
          </cell>
          <cell r="S9" t="str">
            <v>19</v>
          </cell>
          <cell r="T9">
            <v>1019</v>
          </cell>
          <cell r="U9" t="str">
            <v>千種本部校</v>
          </cell>
          <cell r="X9">
            <v>2160331</v>
          </cell>
          <cell r="Y9" t="str">
            <v>Yellow-Pineapple_ペア</v>
          </cell>
        </row>
        <row r="10">
          <cell r="S10" t="str">
            <v>20</v>
          </cell>
          <cell r="T10">
            <v>1020</v>
          </cell>
          <cell r="U10" t="str">
            <v>植田西校</v>
          </cell>
          <cell r="X10">
            <v>2160332</v>
          </cell>
          <cell r="Y10" t="str">
            <v>Yellow-Pineapple_リレー</v>
          </cell>
        </row>
        <row r="11">
          <cell r="S11" t="str">
            <v>21</v>
          </cell>
          <cell r="T11">
            <v>1021</v>
          </cell>
          <cell r="U11" t="str">
            <v>豊明三崎校</v>
          </cell>
          <cell r="X11">
            <v>2160381</v>
          </cell>
          <cell r="Y11" t="str">
            <v>Red-Crab_ペア</v>
          </cell>
        </row>
        <row r="12">
          <cell r="S12" t="str">
            <v>22</v>
          </cell>
          <cell r="T12">
            <v>1022</v>
          </cell>
          <cell r="U12" t="str">
            <v>三郷校</v>
          </cell>
          <cell r="X12">
            <v>2160382</v>
          </cell>
          <cell r="Y12" t="str">
            <v>Red-Crab_リレー</v>
          </cell>
        </row>
        <row r="13">
          <cell r="S13" t="str">
            <v>23</v>
          </cell>
          <cell r="T13">
            <v>1023</v>
          </cell>
          <cell r="U13" t="str">
            <v>瀬戸山口校</v>
          </cell>
          <cell r="X13">
            <v>2160741</v>
          </cell>
          <cell r="Y13" t="str">
            <v>TOEICジュニア_ペア</v>
          </cell>
        </row>
        <row r="14">
          <cell r="S14" t="str">
            <v>24</v>
          </cell>
          <cell r="T14">
            <v>1024</v>
          </cell>
          <cell r="U14" t="str">
            <v>四軒家校</v>
          </cell>
          <cell r="X14">
            <v>2160742</v>
          </cell>
          <cell r="Y14" t="str">
            <v>TOEICジュニア_リレー</v>
          </cell>
        </row>
        <row r="15">
          <cell r="S15" t="str">
            <v>25</v>
          </cell>
          <cell r="T15">
            <v>1025</v>
          </cell>
          <cell r="U15" t="str">
            <v>新守山校</v>
          </cell>
          <cell r="X15">
            <v>2160751</v>
          </cell>
          <cell r="Y15" t="str">
            <v>TOEIC_ペア</v>
          </cell>
        </row>
        <row r="16">
          <cell r="S16" t="str">
            <v>26</v>
          </cell>
          <cell r="T16">
            <v>1026</v>
          </cell>
          <cell r="U16" t="str">
            <v>津島校</v>
          </cell>
          <cell r="X16">
            <v>2160752</v>
          </cell>
          <cell r="Y16" t="str">
            <v>TOEIC_リレー</v>
          </cell>
        </row>
        <row r="17">
          <cell r="S17" t="str">
            <v>27</v>
          </cell>
          <cell r="T17">
            <v>1027</v>
          </cell>
          <cell r="U17" t="str">
            <v>相生山校</v>
          </cell>
          <cell r="X17">
            <v>2160981</v>
          </cell>
          <cell r="Y17" t="str">
            <v>Lepton</v>
          </cell>
        </row>
        <row r="18">
          <cell r="S18" t="str">
            <v>28</v>
          </cell>
          <cell r="T18">
            <v>1028</v>
          </cell>
          <cell r="U18" t="str">
            <v>甚目寺校</v>
          </cell>
        </row>
        <row r="19">
          <cell r="S19" t="str">
            <v>29</v>
          </cell>
          <cell r="T19">
            <v>1029</v>
          </cell>
          <cell r="U19" t="str">
            <v>瀬戸本部校</v>
          </cell>
        </row>
        <row r="20">
          <cell r="S20" t="str">
            <v>30</v>
          </cell>
          <cell r="T20">
            <v>1030</v>
          </cell>
          <cell r="U20" t="str">
            <v>瀬戸品野校</v>
          </cell>
        </row>
        <row r="21">
          <cell r="S21" t="str">
            <v>31</v>
          </cell>
          <cell r="T21">
            <v>1031</v>
          </cell>
          <cell r="U21" t="str">
            <v>春日井駅前校</v>
          </cell>
        </row>
        <row r="22">
          <cell r="S22" t="str">
            <v>32</v>
          </cell>
          <cell r="T22">
            <v>1032</v>
          </cell>
          <cell r="U22" t="str">
            <v>守山本部校</v>
          </cell>
        </row>
        <row r="23">
          <cell r="S23" t="str">
            <v>33</v>
          </cell>
          <cell r="T23">
            <v>1033</v>
          </cell>
          <cell r="U23" t="str">
            <v>小牧西校</v>
          </cell>
        </row>
        <row r="24">
          <cell r="S24" t="str">
            <v>35</v>
          </cell>
          <cell r="T24">
            <v>1035</v>
          </cell>
          <cell r="U24" t="str">
            <v>島田橋西校</v>
          </cell>
        </row>
        <row r="25">
          <cell r="S25" t="str">
            <v>36</v>
          </cell>
          <cell r="T25">
            <v>1036</v>
          </cell>
          <cell r="U25" t="str">
            <v>清水駅前校</v>
          </cell>
        </row>
        <row r="26">
          <cell r="S26" t="str">
            <v>39</v>
          </cell>
          <cell r="T26">
            <v>1039</v>
          </cell>
          <cell r="U26" t="str">
            <v>一宮千秋校</v>
          </cell>
        </row>
        <row r="27">
          <cell r="S27" t="str">
            <v>40</v>
          </cell>
          <cell r="T27">
            <v>1040</v>
          </cell>
          <cell r="U27" t="str">
            <v>前後校</v>
          </cell>
        </row>
        <row r="28">
          <cell r="S28" t="str">
            <v>41</v>
          </cell>
          <cell r="T28">
            <v>1041</v>
          </cell>
          <cell r="U28" t="str">
            <v>あま本部校</v>
          </cell>
        </row>
        <row r="29">
          <cell r="S29" t="str">
            <v>43</v>
          </cell>
          <cell r="T29">
            <v>1043</v>
          </cell>
          <cell r="U29" t="str">
            <v>平針校</v>
          </cell>
        </row>
        <row r="30">
          <cell r="S30" t="str">
            <v>44</v>
          </cell>
          <cell r="T30">
            <v>1044</v>
          </cell>
          <cell r="U30" t="str">
            <v>守山金屋校</v>
          </cell>
        </row>
        <row r="31">
          <cell r="S31" t="str">
            <v>45</v>
          </cell>
          <cell r="T31">
            <v>1045</v>
          </cell>
          <cell r="U31" t="str">
            <v>瑞穂陽明校</v>
          </cell>
        </row>
        <row r="32">
          <cell r="S32" t="str">
            <v>46</v>
          </cell>
          <cell r="T32">
            <v>1046</v>
          </cell>
          <cell r="U32" t="str">
            <v>佐古木校</v>
          </cell>
        </row>
        <row r="33">
          <cell r="S33" t="str">
            <v>47</v>
          </cell>
          <cell r="T33">
            <v>1047</v>
          </cell>
          <cell r="U33" t="str">
            <v>味鋺校</v>
          </cell>
        </row>
        <row r="34">
          <cell r="S34" t="str">
            <v>48</v>
          </cell>
          <cell r="T34">
            <v>1048</v>
          </cell>
          <cell r="U34" t="str">
            <v>南本町校</v>
          </cell>
        </row>
        <row r="35">
          <cell r="S35" t="str">
            <v>49</v>
          </cell>
          <cell r="T35">
            <v>1049</v>
          </cell>
          <cell r="U35" t="str">
            <v>蟹江校</v>
          </cell>
        </row>
        <row r="36">
          <cell r="S36" t="str">
            <v>50</v>
          </cell>
          <cell r="T36">
            <v>1050</v>
          </cell>
          <cell r="U36" t="str">
            <v>清洲校</v>
          </cell>
        </row>
        <row r="37">
          <cell r="S37" t="str">
            <v>51</v>
          </cell>
          <cell r="T37">
            <v>1051</v>
          </cell>
          <cell r="U37" t="str">
            <v>弥富校</v>
          </cell>
        </row>
        <row r="38">
          <cell r="S38" t="str">
            <v>53</v>
          </cell>
          <cell r="T38">
            <v>1053</v>
          </cell>
          <cell r="U38" t="str">
            <v>東郷校</v>
          </cell>
        </row>
        <row r="39">
          <cell r="S39" t="str">
            <v>97</v>
          </cell>
          <cell r="T39">
            <v>1097</v>
          </cell>
          <cell r="U39" t="str">
            <v>栄光八事幼稚園</v>
          </cell>
        </row>
        <row r="40">
          <cell r="S40" t="str">
            <v>98</v>
          </cell>
          <cell r="T40">
            <v>1098</v>
          </cell>
          <cell r="U40" t="str">
            <v>ウィッツ青山学園高等学校</v>
          </cell>
        </row>
        <row r="41">
          <cell r="S41" t="str">
            <v>81</v>
          </cell>
          <cell r="T41">
            <v>2081</v>
          </cell>
          <cell r="U41" t="str">
            <v>須田塾岐阜本部校</v>
          </cell>
        </row>
        <row r="42">
          <cell r="S42" t="str">
            <v>82</v>
          </cell>
          <cell r="T42">
            <v>2082</v>
          </cell>
          <cell r="U42" t="str">
            <v>須田塾岩田校</v>
          </cell>
        </row>
        <row r="43">
          <cell r="S43" t="str">
            <v>71</v>
          </cell>
          <cell r="T43">
            <v>3071</v>
          </cell>
          <cell r="U43" t="str">
            <v>メプレス</v>
          </cell>
        </row>
        <row r="44">
          <cell r="S44" t="str">
            <v>73</v>
          </cell>
          <cell r="T44">
            <v>4073</v>
          </cell>
          <cell r="U44" t="str">
            <v>可児本部教室</v>
          </cell>
        </row>
        <row r="45">
          <cell r="S45" t="str">
            <v>74</v>
          </cell>
          <cell r="T45">
            <v>4074</v>
          </cell>
          <cell r="U45" t="str">
            <v>可児今渡教室</v>
          </cell>
        </row>
        <row r="46">
          <cell r="S46" t="str">
            <v>75</v>
          </cell>
          <cell r="T46">
            <v>4075</v>
          </cell>
          <cell r="U46" t="str">
            <v>西可児駅前教室</v>
          </cell>
        </row>
        <row r="47">
          <cell r="S47" t="str">
            <v>76</v>
          </cell>
          <cell r="T47">
            <v>4076</v>
          </cell>
          <cell r="U47" t="str">
            <v>美濃太田駅前教室</v>
          </cell>
        </row>
        <row r="48">
          <cell r="S48" t="str">
            <v>77</v>
          </cell>
          <cell r="T48">
            <v>4077</v>
          </cell>
          <cell r="U48" t="str">
            <v>関富岡教室</v>
          </cell>
        </row>
        <row r="49">
          <cell r="S49" t="str">
            <v>99</v>
          </cell>
          <cell r="T49">
            <v>9999</v>
          </cell>
          <cell r="U49" t="str">
            <v>　</v>
          </cell>
        </row>
        <row r="50">
          <cell r="S50" t="str">
            <v>54</v>
          </cell>
          <cell r="T50">
            <v>1054</v>
          </cell>
          <cell r="U50" t="str">
            <v>丸一校</v>
          </cell>
        </row>
        <row r="51">
          <cell r="S51" t="str">
            <v>55</v>
          </cell>
          <cell r="T51">
            <v>1055</v>
          </cell>
          <cell r="U51" t="str">
            <v>瑞穂豊岡校</v>
          </cell>
        </row>
        <row r="52">
          <cell r="S52" t="str">
            <v>56</v>
          </cell>
          <cell r="T52">
            <v>1056</v>
          </cell>
          <cell r="U52" t="str">
            <v>扶桑校</v>
          </cell>
        </row>
      </sheetData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アン"/>
      <sheetName val="関数"/>
      <sheetName val="クラス基本情報(最新)"/>
      <sheetName val="Sheet1"/>
    </sheetNames>
    <sheetDataSet>
      <sheetData sheetId="0"/>
      <sheetData sheetId="1">
        <row r="2">
          <cell r="A2" t="str">
            <v>○</v>
          </cell>
          <cell r="C2" t="str">
            <v>P</v>
          </cell>
          <cell r="D2" t="str">
            <v>PI</v>
          </cell>
          <cell r="E2" t="str">
            <v>Pink</v>
          </cell>
          <cell r="F2">
            <v>30</v>
          </cell>
          <cell r="CI2">
            <v>0.375</v>
          </cell>
          <cell r="CK2" t="str">
            <v>美濃太</v>
          </cell>
          <cell r="CM2" t="str">
            <v>月</v>
          </cell>
        </row>
        <row r="3">
          <cell r="A3" t="str">
            <v>待機</v>
          </cell>
          <cell r="C3" t="str">
            <v>R</v>
          </cell>
          <cell r="D3" t="str">
            <v>PU</v>
          </cell>
          <cell r="E3" t="str">
            <v>Purple</v>
          </cell>
          <cell r="F3">
            <v>50</v>
          </cell>
          <cell r="CI3">
            <v>0.37847222222222227</v>
          </cell>
          <cell r="CK3" t="str">
            <v>西可児</v>
          </cell>
          <cell r="CM3" t="str">
            <v>火</v>
          </cell>
        </row>
        <row r="4">
          <cell r="A4" t="str">
            <v>保証</v>
          </cell>
          <cell r="C4" t="str">
            <v>RP</v>
          </cell>
          <cell r="D4" t="str">
            <v>RE</v>
          </cell>
          <cell r="E4" t="str">
            <v>Red</v>
          </cell>
          <cell r="F4">
            <v>50</v>
          </cell>
          <cell r="CI4">
            <v>0.38125000000000003</v>
          </cell>
          <cell r="CK4" t="str">
            <v>可児今</v>
          </cell>
          <cell r="CM4" t="str">
            <v>水</v>
          </cell>
        </row>
        <row r="5">
          <cell r="D5" t="str">
            <v>EA</v>
          </cell>
          <cell r="E5" t="str">
            <v>英会話A</v>
          </cell>
          <cell r="F5">
            <v>50</v>
          </cell>
          <cell r="CI5">
            <v>0.38541666666666669</v>
          </cell>
          <cell r="CK5" t="str">
            <v>東郷校</v>
          </cell>
          <cell r="CM5" t="str">
            <v>木</v>
          </cell>
        </row>
        <row r="6">
          <cell r="D6" t="str">
            <v>EB</v>
          </cell>
          <cell r="E6" t="str">
            <v>英会話B</v>
          </cell>
          <cell r="F6">
            <v>50</v>
          </cell>
          <cell r="CI6">
            <v>0.3888888888888889</v>
          </cell>
          <cell r="CK6" t="str">
            <v>弥富校</v>
          </cell>
          <cell r="CM6" t="str">
            <v>金</v>
          </cell>
        </row>
        <row r="7">
          <cell r="D7" t="str">
            <v>WH</v>
          </cell>
          <cell r="E7" t="str">
            <v>White</v>
          </cell>
          <cell r="F7">
            <v>40</v>
          </cell>
          <cell r="J7">
            <v>80</v>
          </cell>
          <cell r="K7">
            <v>2109</v>
          </cell>
          <cell r="L7">
            <v>2642</v>
          </cell>
          <cell r="CI7">
            <v>0.3923611111111111</v>
          </cell>
          <cell r="CK7" t="str">
            <v>清洲校</v>
          </cell>
          <cell r="CM7" t="str">
            <v>土</v>
          </cell>
        </row>
        <row r="8">
          <cell r="D8" t="str">
            <v>YE</v>
          </cell>
          <cell r="E8" t="str">
            <v>Yellow</v>
          </cell>
          <cell r="F8">
            <v>50</v>
          </cell>
          <cell r="J8">
            <v>90</v>
          </cell>
          <cell r="K8">
            <v>2275</v>
          </cell>
          <cell r="L8">
            <v>2875</v>
          </cell>
          <cell r="CI8">
            <v>0.39583333333333331</v>
          </cell>
          <cell r="CK8" t="str">
            <v>蟹江校</v>
          </cell>
          <cell r="CM8" t="str">
            <v>日</v>
          </cell>
        </row>
        <row r="9">
          <cell r="J9">
            <v>100</v>
          </cell>
          <cell r="K9">
            <v>2442</v>
          </cell>
          <cell r="L9">
            <v>3109</v>
          </cell>
          <cell r="CI9">
            <v>0.39930555555555558</v>
          </cell>
          <cell r="CK9" t="str">
            <v>南本町</v>
          </cell>
        </row>
        <row r="10">
          <cell r="J10">
            <v>110</v>
          </cell>
          <cell r="K10">
            <v>2609</v>
          </cell>
          <cell r="L10">
            <v>3342</v>
          </cell>
          <cell r="CI10">
            <v>0.40277777777777773</v>
          </cell>
          <cell r="CK10" t="str">
            <v>味鋺校</v>
          </cell>
        </row>
        <row r="11">
          <cell r="J11">
            <v>120</v>
          </cell>
          <cell r="K11">
            <v>2775</v>
          </cell>
          <cell r="L11">
            <v>3575</v>
          </cell>
          <cell r="CI11">
            <v>0.40625</v>
          </cell>
          <cell r="CK11" t="str">
            <v>佐古木</v>
          </cell>
        </row>
        <row r="12">
          <cell r="J12">
            <v>130</v>
          </cell>
          <cell r="K12">
            <v>2942</v>
          </cell>
          <cell r="L12">
            <v>3809</v>
          </cell>
          <cell r="CI12">
            <v>0.40972222222222227</v>
          </cell>
          <cell r="CK12" t="str">
            <v>守山本</v>
          </cell>
        </row>
        <row r="13">
          <cell r="J13">
            <v>140</v>
          </cell>
          <cell r="K13">
            <v>3109</v>
          </cell>
          <cell r="L13">
            <v>4042</v>
          </cell>
          <cell r="CI13">
            <v>0.41319444444444442</v>
          </cell>
          <cell r="CK13" t="str">
            <v>金屋校</v>
          </cell>
        </row>
        <row r="14">
          <cell r="J14">
            <v>150</v>
          </cell>
          <cell r="K14">
            <v>3275</v>
          </cell>
          <cell r="L14">
            <v>4275</v>
          </cell>
          <cell r="CI14">
            <v>0.41666666666665902</v>
          </cell>
          <cell r="CK14" t="str">
            <v>本山校</v>
          </cell>
        </row>
        <row r="15">
          <cell r="A15">
            <v>3500</v>
          </cell>
          <cell r="C15">
            <v>930</v>
          </cell>
          <cell r="E15">
            <v>2019</v>
          </cell>
          <cell r="F15">
            <v>1</v>
          </cell>
          <cell r="J15">
            <v>160</v>
          </cell>
          <cell r="K15">
            <v>3442</v>
          </cell>
          <cell r="L15">
            <v>4509</v>
          </cell>
          <cell r="CI15">
            <v>0.42013888888888101</v>
          </cell>
          <cell r="CK15" t="str">
            <v>名東本</v>
          </cell>
        </row>
        <row r="16">
          <cell r="A16">
            <v>4250</v>
          </cell>
          <cell r="E16">
            <v>2020</v>
          </cell>
          <cell r="F16">
            <v>2</v>
          </cell>
          <cell r="J16">
            <v>170</v>
          </cell>
          <cell r="K16">
            <v>3609</v>
          </cell>
          <cell r="L16">
            <v>4742</v>
          </cell>
          <cell r="CI16">
            <v>0.423611111111103</v>
          </cell>
          <cell r="CK16" t="str">
            <v>陽明校</v>
          </cell>
        </row>
        <row r="17">
          <cell r="A17">
            <v>5000</v>
          </cell>
          <cell r="E17">
            <v>2021</v>
          </cell>
          <cell r="F17">
            <v>3</v>
          </cell>
          <cell r="J17">
            <v>180</v>
          </cell>
          <cell r="K17">
            <v>3775</v>
          </cell>
          <cell r="L17">
            <v>4975</v>
          </cell>
          <cell r="CI17">
            <v>0.42708333333332499</v>
          </cell>
          <cell r="CK17" t="str">
            <v>平針校</v>
          </cell>
        </row>
        <row r="18">
          <cell r="A18">
            <v>6000</v>
          </cell>
          <cell r="E18">
            <v>2022</v>
          </cell>
          <cell r="F18">
            <v>4</v>
          </cell>
          <cell r="J18">
            <v>190</v>
          </cell>
          <cell r="K18">
            <v>3942</v>
          </cell>
          <cell r="L18">
            <v>5209</v>
          </cell>
          <cell r="CI18">
            <v>0.43055555555554698</v>
          </cell>
          <cell r="CK18" t="str">
            <v>豊明三</v>
          </cell>
        </row>
        <row r="19">
          <cell r="A19">
            <v>6800</v>
          </cell>
          <cell r="E19">
            <v>2023</v>
          </cell>
          <cell r="F19">
            <v>5</v>
          </cell>
          <cell r="J19">
            <v>200</v>
          </cell>
          <cell r="K19">
            <v>4109</v>
          </cell>
          <cell r="L19">
            <v>5442</v>
          </cell>
          <cell r="CI19">
            <v>0.43402777777776902</v>
          </cell>
          <cell r="CK19" t="str">
            <v>津島校</v>
          </cell>
        </row>
        <row r="20">
          <cell r="E20">
            <v>2024</v>
          </cell>
          <cell r="F20">
            <v>6</v>
          </cell>
          <cell r="J20">
            <v>210</v>
          </cell>
          <cell r="K20">
            <v>4275</v>
          </cell>
          <cell r="L20">
            <v>5675</v>
          </cell>
          <cell r="CI20">
            <v>0.43749999999999101</v>
          </cell>
          <cell r="CK20" t="str">
            <v>千種本</v>
          </cell>
        </row>
        <row r="21">
          <cell r="E21">
            <v>2025</v>
          </cell>
          <cell r="F21">
            <v>7</v>
          </cell>
          <cell r="J21">
            <v>220</v>
          </cell>
          <cell r="K21">
            <v>4442</v>
          </cell>
          <cell r="L21">
            <v>5909</v>
          </cell>
          <cell r="CI21">
            <v>0.440972222222212</v>
          </cell>
          <cell r="CK21" t="str">
            <v>谷口校</v>
          </cell>
        </row>
        <row r="22">
          <cell r="E22">
            <v>2026</v>
          </cell>
          <cell r="F22">
            <v>8</v>
          </cell>
          <cell r="J22">
            <v>230</v>
          </cell>
          <cell r="K22">
            <v>4609</v>
          </cell>
          <cell r="L22">
            <v>6142</v>
          </cell>
          <cell r="CI22">
            <v>0.44444444444443398</v>
          </cell>
          <cell r="CK22" t="str">
            <v>相生山</v>
          </cell>
        </row>
        <row r="23">
          <cell r="E23">
            <v>2027</v>
          </cell>
          <cell r="F23">
            <v>9</v>
          </cell>
          <cell r="J23">
            <v>240</v>
          </cell>
          <cell r="K23">
            <v>4775</v>
          </cell>
          <cell r="L23">
            <v>6375</v>
          </cell>
          <cell r="CI23">
            <v>0.44791666666665603</v>
          </cell>
          <cell r="CK23" t="str">
            <v>前後校</v>
          </cell>
        </row>
        <row r="24">
          <cell r="E24">
            <v>2028</v>
          </cell>
          <cell r="F24">
            <v>10</v>
          </cell>
          <cell r="J24">
            <v>250</v>
          </cell>
          <cell r="K24">
            <v>4942</v>
          </cell>
          <cell r="L24">
            <v>6609</v>
          </cell>
          <cell r="CI24">
            <v>0.45138888888887801</v>
          </cell>
          <cell r="CK24" t="str">
            <v>瀬戸山</v>
          </cell>
        </row>
        <row r="25">
          <cell r="F25">
            <v>11</v>
          </cell>
          <cell r="J25">
            <v>260</v>
          </cell>
          <cell r="K25">
            <v>5109</v>
          </cell>
          <cell r="L25">
            <v>6842</v>
          </cell>
          <cell r="CI25">
            <v>0.4548611111111</v>
          </cell>
          <cell r="CK25" t="str">
            <v>瀬戸本</v>
          </cell>
        </row>
        <row r="26">
          <cell r="F26">
            <v>12</v>
          </cell>
          <cell r="J26">
            <v>270</v>
          </cell>
          <cell r="K26">
            <v>5275</v>
          </cell>
          <cell r="L26">
            <v>7075</v>
          </cell>
          <cell r="CI26">
            <v>0.45833333333332199</v>
          </cell>
          <cell r="CK26" t="str">
            <v>岐阜本</v>
          </cell>
        </row>
        <row r="27">
          <cell r="A27" t="str">
            <v>春期トレーニング</v>
          </cell>
          <cell r="J27">
            <v>280</v>
          </cell>
          <cell r="K27">
            <v>5442</v>
          </cell>
          <cell r="L27">
            <v>7309</v>
          </cell>
          <cell r="CI27">
            <v>0.46180555555554398</v>
          </cell>
          <cell r="CK27" t="str">
            <v>岩田校</v>
          </cell>
        </row>
        <row r="28">
          <cell r="A28" t="str">
            <v>demo</v>
          </cell>
          <cell r="J28">
            <v>290</v>
          </cell>
          <cell r="K28">
            <v>5609</v>
          </cell>
          <cell r="L28">
            <v>7542</v>
          </cell>
          <cell r="CI28">
            <v>0.46527777777776602</v>
          </cell>
          <cell r="CK28" t="str">
            <v>新守山</v>
          </cell>
        </row>
        <row r="29">
          <cell r="J29">
            <v>300</v>
          </cell>
          <cell r="K29">
            <v>5775</v>
          </cell>
          <cell r="L29">
            <v>7775</v>
          </cell>
          <cell r="CI29">
            <v>0.46874999999998801</v>
          </cell>
          <cell r="CK29" t="str">
            <v>甚目寺</v>
          </cell>
        </row>
        <row r="30">
          <cell r="J30">
            <v>310</v>
          </cell>
          <cell r="K30">
            <v>5942</v>
          </cell>
          <cell r="L30">
            <v>8009</v>
          </cell>
          <cell r="CI30">
            <v>0.47222222222221</v>
          </cell>
          <cell r="CK30" t="str">
            <v>島田橋</v>
          </cell>
        </row>
        <row r="31">
          <cell r="J31">
            <v>320</v>
          </cell>
          <cell r="K31">
            <v>6109</v>
          </cell>
          <cell r="L31">
            <v>8242</v>
          </cell>
          <cell r="CI31">
            <v>0.47569444444443199</v>
          </cell>
          <cell r="CK31" t="str">
            <v>四軒家</v>
          </cell>
        </row>
        <row r="32">
          <cell r="J32">
            <v>330</v>
          </cell>
          <cell r="K32">
            <v>6275</v>
          </cell>
          <cell r="L32">
            <v>8475</v>
          </cell>
          <cell r="CI32">
            <v>0.47916666666665397</v>
          </cell>
          <cell r="CK32" t="str">
            <v>三郷校</v>
          </cell>
        </row>
        <row r="33">
          <cell r="J33">
            <v>340</v>
          </cell>
          <cell r="K33">
            <v>6442</v>
          </cell>
          <cell r="L33">
            <v>8709</v>
          </cell>
          <cell r="CI33">
            <v>0.48263888888887602</v>
          </cell>
          <cell r="CK33" t="str">
            <v>小牧西</v>
          </cell>
        </row>
        <row r="34">
          <cell r="A34" t="str">
            <v>アン会議（1on1）</v>
          </cell>
          <cell r="J34">
            <v>350</v>
          </cell>
          <cell r="K34">
            <v>6609</v>
          </cell>
          <cell r="L34">
            <v>8942</v>
          </cell>
          <cell r="CI34">
            <v>0.486111111111098</v>
          </cell>
          <cell r="CK34" t="str">
            <v>吉根校</v>
          </cell>
        </row>
        <row r="35">
          <cell r="A35" t="str">
            <v>アン会議【ZOOM配信】</v>
          </cell>
          <cell r="J35">
            <v>360</v>
          </cell>
          <cell r="L35" t="e">
            <v>#REF!</v>
          </cell>
          <cell r="CI35">
            <v>0.48958333333331999</v>
          </cell>
          <cell r="CK35" t="str">
            <v>喜多山</v>
          </cell>
        </row>
        <row r="36">
          <cell r="A36" t="str">
            <v>クラスサポート　午前</v>
          </cell>
          <cell r="J36">
            <v>370</v>
          </cell>
          <cell r="L36" t="e">
            <v>#REF!</v>
          </cell>
          <cell r="CI36">
            <v>0.49305555555554198</v>
          </cell>
          <cell r="CK36" t="str">
            <v>春日井</v>
          </cell>
        </row>
        <row r="37">
          <cell r="A37" t="str">
            <v>クラスサポート　午後</v>
          </cell>
          <cell r="J37">
            <v>380</v>
          </cell>
          <cell r="L37" t="e">
            <v>#REF!</v>
          </cell>
          <cell r="CI37">
            <v>0.49652777777776402</v>
          </cell>
          <cell r="CK37" t="str">
            <v>尾張旭</v>
          </cell>
        </row>
        <row r="38">
          <cell r="A38" t="str">
            <v>実地研修</v>
          </cell>
          <cell r="J38">
            <v>390</v>
          </cell>
          <cell r="L38" t="e">
            <v>#REF!</v>
          </cell>
          <cell r="CI38">
            <v>0.49999999999998601</v>
          </cell>
          <cell r="CK38" t="str">
            <v>小幡校</v>
          </cell>
        </row>
        <row r="39">
          <cell r="A39" t="str">
            <v>春期トレーニング</v>
          </cell>
          <cell r="J39">
            <v>400</v>
          </cell>
          <cell r="L39" t="e">
            <v>#REF!</v>
          </cell>
          <cell r="CI39">
            <v>0.503472222222208</v>
          </cell>
          <cell r="CK39" t="str">
            <v>一宮千</v>
          </cell>
        </row>
        <row r="40">
          <cell r="A40" t="str">
            <v>学習発表会1時間前出勤</v>
          </cell>
          <cell r="J40">
            <v>410</v>
          </cell>
          <cell r="L40" t="e">
            <v>#REF!</v>
          </cell>
          <cell r="CI40">
            <v>0.50694444444442999</v>
          </cell>
          <cell r="CK40" t="str">
            <v>あま本</v>
          </cell>
        </row>
        <row r="41">
          <cell r="A41" t="str">
            <v>年度初回授業1時間前出勤</v>
          </cell>
          <cell r="J41">
            <v>420</v>
          </cell>
          <cell r="L41" t="e">
            <v>#REF!</v>
          </cell>
          <cell r="CI41">
            <v>0.51041666666665197</v>
          </cell>
          <cell r="CK41" t="str">
            <v>豊山校</v>
          </cell>
        </row>
        <row r="42">
          <cell r="A42" t="str">
            <v>その他</v>
          </cell>
          <cell r="J42">
            <v>430</v>
          </cell>
          <cell r="L42" t="e">
            <v>#REF!</v>
          </cell>
          <cell r="CI42">
            <v>0.51388888888887396</v>
          </cell>
          <cell r="CK42" t="str">
            <v>稲沢校</v>
          </cell>
        </row>
        <row r="43">
          <cell r="J43">
            <v>440</v>
          </cell>
          <cell r="L43" t="e">
            <v>#REF!</v>
          </cell>
          <cell r="CI43">
            <v>0.51736111111109595</v>
          </cell>
          <cell r="CK43" t="str">
            <v>愛西本</v>
          </cell>
        </row>
        <row r="44">
          <cell r="J44">
            <v>450</v>
          </cell>
          <cell r="K44" t="e">
            <v>#REF!</v>
          </cell>
          <cell r="L44" t="e">
            <v>#REF!</v>
          </cell>
          <cell r="CI44">
            <v>0.52083333333331805</v>
          </cell>
          <cell r="CK44" t="str">
            <v>野並校</v>
          </cell>
        </row>
        <row r="45">
          <cell r="J45">
            <v>460</v>
          </cell>
          <cell r="K45" t="e">
            <v>#REF!</v>
          </cell>
          <cell r="L45" t="e">
            <v>#REF!</v>
          </cell>
          <cell r="CI45">
            <v>0.52430555555554004</v>
          </cell>
          <cell r="CK45" t="str">
            <v>多治見</v>
          </cell>
        </row>
        <row r="46">
          <cell r="CI46">
            <v>0.52777777777776202</v>
          </cell>
          <cell r="CK46" t="str">
            <v>扶桑校</v>
          </cell>
        </row>
        <row r="47">
          <cell r="CI47">
            <v>0.53124999999998401</v>
          </cell>
          <cell r="CK47" t="str">
            <v>豊岡校</v>
          </cell>
        </row>
        <row r="48">
          <cell r="CI48">
            <v>0.534722222222206</v>
          </cell>
          <cell r="CK48" t="str">
            <v>丸一校</v>
          </cell>
        </row>
        <row r="49">
          <cell r="CI49">
            <v>0.53819444444442799</v>
          </cell>
          <cell r="CK49" t="str">
            <v>可児本</v>
          </cell>
        </row>
        <row r="50">
          <cell r="CI50">
            <v>0.54166666666664998</v>
          </cell>
          <cell r="CK50" t="str">
            <v>犬山校</v>
          </cell>
        </row>
        <row r="51">
          <cell r="CI51">
            <v>0.54513888888887196</v>
          </cell>
          <cell r="CK51" t="str">
            <v>鵜沼校</v>
          </cell>
        </row>
        <row r="52">
          <cell r="CI52">
            <v>0.54861111111109395</v>
          </cell>
          <cell r="CK52" t="str">
            <v>伏屋校</v>
          </cell>
        </row>
        <row r="53">
          <cell r="CI53">
            <v>0.55208333333331605</v>
          </cell>
          <cell r="CK53" t="str">
            <v>清水校</v>
          </cell>
        </row>
        <row r="54">
          <cell r="CI54">
            <v>0.55555555555553804</v>
          </cell>
          <cell r="CK54" t="str">
            <v>二重堀</v>
          </cell>
        </row>
        <row r="55">
          <cell r="CI55">
            <v>0.55902777777776003</v>
          </cell>
          <cell r="CK55" t="str">
            <v>枇杷島</v>
          </cell>
        </row>
        <row r="56">
          <cell r="CI56">
            <v>0.56249999999998201</v>
          </cell>
          <cell r="CK56" t="str">
            <v>白鳳校</v>
          </cell>
        </row>
        <row r="57">
          <cell r="CI57">
            <v>0.565972222222204</v>
          </cell>
          <cell r="CK57" t="str">
            <v>坂下校</v>
          </cell>
        </row>
        <row r="58">
          <cell r="CI58">
            <v>0.56944444444442599</v>
          </cell>
        </row>
        <row r="59">
          <cell r="CI59">
            <v>0.57291666666664798</v>
          </cell>
        </row>
        <row r="60">
          <cell r="CI60">
            <v>0.57638888888886997</v>
          </cell>
        </row>
        <row r="61">
          <cell r="CI61">
            <v>0.57986111111109195</v>
          </cell>
        </row>
        <row r="62">
          <cell r="CI62">
            <v>0.58333333333331405</v>
          </cell>
        </row>
        <row r="63">
          <cell r="CI63">
            <v>0.58680555555553604</v>
          </cell>
        </row>
        <row r="64">
          <cell r="CI64">
            <v>0.59027777777775803</v>
          </cell>
        </row>
        <row r="65">
          <cell r="CI65">
            <v>0.59374999999998002</v>
          </cell>
        </row>
        <row r="66">
          <cell r="CI66">
            <v>0.597222222222202</v>
          </cell>
        </row>
        <row r="67">
          <cell r="CI67">
            <v>0.60069444444442399</v>
          </cell>
        </row>
        <row r="68">
          <cell r="CI68">
            <v>0.60416666666664598</v>
          </cell>
        </row>
        <row r="69">
          <cell r="CI69">
            <v>0.60763888888886797</v>
          </cell>
        </row>
        <row r="70">
          <cell r="CI70">
            <v>0.61111111111108996</v>
          </cell>
        </row>
        <row r="71">
          <cell r="CI71">
            <v>0.61458333333331205</v>
          </cell>
        </row>
        <row r="72">
          <cell r="CI72">
            <v>0.61805555555553404</v>
          </cell>
        </row>
        <row r="73">
          <cell r="CI73">
            <v>0.62152777777775603</v>
          </cell>
        </row>
        <row r="74">
          <cell r="CI74">
            <v>0.62499999999997802</v>
          </cell>
        </row>
        <row r="75">
          <cell r="CI75">
            <v>0.62847222222220001</v>
          </cell>
        </row>
        <row r="76">
          <cell r="CI76">
            <v>0.63194444444442199</v>
          </cell>
        </row>
        <row r="77">
          <cell r="CI77">
            <v>0.63541666666664398</v>
          </cell>
        </row>
        <row r="78">
          <cell r="CI78">
            <v>0.63888888888886597</v>
          </cell>
        </row>
        <row r="79">
          <cell r="CI79">
            <v>0.64236111111108796</v>
          </cell>
        </row>
        <row r="80">
          <cell r="CI80">
            <v>0.64583333333330994</v>
          </cell>
        </row>
        <row r="81">
          <cell r="CI81">
            <v>0.64930555555553204</v>
          </cell>
        </row>
        <row r="82">
          <cell r="CI82">
            <v>0.65277777777775403</v>
          </cell>
        </row>
        <row r="83">
          <cell r="CI83">
            <v>0.65624999999997602</v>
          </cell>
        </row>
        <row r="84">
          <cell r="CI84">
            <v>0.65972222222219801</v>
          </cell>
        </row>
        <row r="85">
          <cell r="CI85">
            <v>0.66319444444441999</v>
          </cell>
        </row>
        <row r="86">
          <cell r="CI86">
            <v>0.66666666666664198</v>
          </cell>
        </row>
        <row r="87">
          <cell r="CI87">
            <v>0.67013888888886397</v>
          </cell>
        </row>
        <row r="88">
          <cell r="CI88">
            <v>0.67361111111108596</v>
          </cell>
        </row>
        <row r="89">
          <cell r="CI89">
            <v>0.67708333333330795</v>
          </cell>
        </row>
        <row r="90">
          <cell r="CI90">
            <v>0.68055555555553005</v>
          </cell>
        </row>
        <row r="91">
          <cell r="CI91">
            <v>0.68402777777775203</v>
          </cell>
        </row>
        <row r="92">
          <cell r="CI92">
            <v>0.68749999999997402</v>
          </cell>
        </row>
        <row r="93">
          <cell r="CI93">
            <v>0.69097222222219601</v>
          </cell>
        </row>
        <row r="94">
          <cell r="CI94">
            <v>0.694444444444418</v>
          </cell>
        </row>
        <row r="95">
          <cell r="CI95">
            <v>0.69791666666663998</v>
          </cell>
        </row>
        <row r="96">
          <cell r="CI96">
            <v>0.70138888888886197</v>
          </cell>
        </row>
        <row r="97">
          <cell r="CI97">
            <v>0.70486111111108396</v>
          </cell>
        </row>
        <row r="98">
          <cell r="CI98">
            <v>0.70833333333330595</v>
          </cell>
        </row>
        <row r="99">
          <cell r="CI99">
            <v>0.71180555555552805</v>
          </cell>
        </row>
        <row r="100">
          <cell r="CI100">
            <v>0.71527777777775003</v>
          </cell>
        </row>
        <row r="101">
          <cell r="CI101">
            <v>0.71874999999997202</v>
          </cell>
        </row>
        <row r="102">
          <cell r="CI102">
            <v>0.72222222222219401</v>
          </cell>
        </row>
        <row r="103">
          <cell r="CI103">
            <v>0.725694444444415</v>
          </cell>
        </row>
        <row r="104">
          <cell r="CI104">
            <v>0.72916666666663699</v>
          </cell>
        </row>
        <row r="105">
          <cell r="CI105">
            <v>0.73263888888885897</v>
          </cell>
        </row>
        <row r="106">
          <cell r="CI106">
            <v>0.73611111111108096</v>
          </cell>
        </row>
        <row r="107">
          <cell r="CI107">
            <v>0.73958333333330295</v>
          </cell>
        </row>
        <row r="108">
          <cell r="CI108">
            <v>0.74305555555552505</v>
          </cell>
        </row>
        <row r="109">
          <cell r="CI109">
            <v>0.74652777777774704</v>
          </cell>
        </row>
        <row r="110">
          <cell r="CI110">
            <v>0.74999999999996902</v>
          </cell>
        </row>
        <row r="111">
          <cell r="CI111">
            <v>0.75347222222219101</v>
          </cell>
        </row>
        <row r="112">
          <cell r="CI112">
            <v>0.756944444444413</v>
          </cell>
        </row>
        <row r="113">
          <cell r="CI113">
            <v>0.76041666666663499</v>
          </cell>
        </row>
        <row r="114">
          <cell r="CI114">
            <v>0.76388888888885698</v>
          </cell>
        </row>
        <row r="115">
          <cell r="CI115">
            <v>0.76736111111107896</v>
          </cell>
        </row>
        <row r="116">
          <cell r="CI116">
            <v>0.77083333333330095</v>
          </cell>
        </row>
        <row r="117">
          <cell r="CI117">
            <v>0.77430555555552305</v>
          </cell>
        </row>
        <row r="118">
          <cell r="CI118">
            <v>0.77777777777774504</v>
          </cell>
        </row>
        <row r="119">
          <cell r="CI119">
            <v>0.78124999999996703</v>
          </cell>
        </row>
        <row r="120">
          <cell r="CI120">
            <v>0.78472222222218901</v>
          </cell>
        </row>
        <row r="121">
          <cell r="CI121">
            <v>0.788194444444411</v>
          </cell>
        </row>
        <row r="122">
          <cell r="CI122">
            <v>0.79166666666663299</v>
          </cell>
        </row>
        <row r="123">
          <cell r="CI123">
            <v>0.79513888888885498</v>
          </cell>
        </row>
        <row r="124">
          <cell r="CI124">
            <v>0.79861111111107697</v>
          </cell>
        </row>
        <row r="125">
          <cell r="CI125">
            <v>0.80208333333329895</v>
          </cell>
        </row>
        <row r="126">
          <cell r="CI126">
            <v>0.80555555555552105</v>
          </cell>
        </row>
        <row r="127">
          <cell r="CI127">
            <v>0.80902777777774304</v>
          </cell>
        </row>
        <row r="128">
          <cell r="CI128">
            <v>0.81249999999996503</v>
          </cell>
        </row>
        <row r="129">
          <cell r="CI129">
            <v>0.81597222222218702</v>
          </cell>
        </row>
        <row r="130">
          <cell r="CI130">
            <v>0.819444444444409</v>
          </cell>
        </row>
        <row r="131">
          <cell r="CI131">
            <v>0.82291666666663099</v>
          </cell>
        </row>
        <row r="132">
          <cell r="CI132">
            <v>0.82638888888885298</v>
          </cell>
        </row>
        <row r="133">
          <cell r="CI133">
            <v>0.82986111111107497</v>
          </cell>
        </row>
        <row r="134">
          <cell r="CI134">
            <v>0.83333333333329696</v>
          </cell>
        </row>
        <row r="135">
          <cell r="CI135">
            <v>0.83680555555551905</v>
          </cell>
        </row>
        <row r="136">
          <cell r="CI136">
            <v>0.84027777777774104</v>
          </cell>
        </row>
        <row r="137">
          <cell r="CI137">
            <v>0.84374999999996303</v>
          </cell>
        </row>
        <row r="138">
          <cell r="CI138">
            <v>0.84722222222218502</v>
          </cell>
        </row>
        <row r="139">
          <cell r="CI139">
            <v>0.85069444444440701</v>
          </cell>
        </row>
        <row r="140">
          <cell r="CI140">
            <v>0.85416666666662899</v>
          </cell>
        </row>
        <row r="141">
          <cell r="CI141">
            <v>0.85763888888885098</v>
          </cell>
        </row>
        <row r="142">
          <cell r="CI142">
            <v>0.86111111111107297</v>
          </cell>
        </row>
        <row r="143">
          <cell r="CI143">
            <v>0.86458333333329496</v>
          </cell>
        </row>
        <row r="144">
          <cell r="CI144">
            <v>0.86805555555551694</v>
          </cell>
        </row>
        <row r="145">
          <cell r="CI145">
            <v>0.87152777777773904</v>
          </cell>
        </row>
        <row r="146">
          <cell r="CI146">
            <v>0.87499999999996103</v>
          </cell>
        </row>
        <row r="147">
          <cell r="CI147">
            <v>0.87847222222218302</v>
          </cell>
        </row>
        <row r="148">
          <cell r="CI148">
            <v>0.88194444444440501</v>
          </cell>
        </row>
        <row r="149">
          <cell r="CI149">
            <v>0.88541666666662699</v>
          </cell>
        </row>
        <row r="150">
          <cell r="CI150">
            <v>0.88888888888884898</v>
          </cell>
        </row>
        <row r="151">
          <cell r="CI151">
            <v>0.89236111111107097</v>
          </cell>
        </row>
        <row r="152">
          <cell r="CI152">
            <v>0.89583333333329296</v>
          </cell>
        </row>
        <row r="153">
          <cell r="CI153">
            <v>0.89930555555551495</v>
          </cell>
        </row>
        <row r="154">
          <cell r="CI154">
            <v>0.90277777777773704</v>
          </cell>
        </row>
        <row r="155">
          <cell r="CI155">
            <v>0.90624999999995903</v>
          </cell>
        </row>
        <row r="156">
          <cell r="CI156">
            <v>0.90972222222218102</v>
          </cell>
        </row>
        <row r="157">
          <cell r="CI157">
            <v>0.91319444444440301</v>
          </cell>
        </row>
        <row r="158">
          <cell r="CI158">
            <v>0.916666666666625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確認マシーン"/>
      <sheetName val="確認マシーン (2)"/>
      <sheetName val="クラスＩＤ11.4更新"/>
    </sheetNames>
    <sheetDataSet>
      <sheetData sheetId="0" refreshError="1"/>
      <sheetData sheetId="1">
        <row r="2">
          <cell r="A2" t="str">
            <v>進学ジム</v>
          </cell>
        </row>
        <row r="3">
          <cell r="A3" t="str">
            <v>算国クラブ</v>
          </cell>
        </row>
        <row r="4">
          <cell r="A4" t="str">
            <v>須田塾</v>
          </cell>
        </row>
        <row r="5">
          <cell r="A5" t="str">
            <v>高校生マイセルフ</v>
          </cell>
        </row>
        <row r="6">
          <cell r="A6" t="str">
            <v>文理</v>
          </cell>
        </row>
        <row r="7">
          <cell r="A7" t="str">
            <v>学院</v>
          </cell>
        </row>
        <row r="8">
          <cell r="A8" t="str">
            <v>中受験</v>
          </cell>
        </row>
        <row r="9">
          <cell r="A9" t="str">
            <v>ゲイツ</v>
          </cell>
        </row>
        <row r="10">
          <cell r="A10" t="str">
            <v>四軒家まなびワールド</v>
          </cell>
        </row>
        <row r="11">
          <cell r="A11" t="str">
            <v>インター</v>
          </cell>
        </row>
      </sheetData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1　校舎マスタ"/>
      <sheetName val="1002　ブランドマスタ"/>
      <sheetName val="1005　時間割作成"/>
      <sheetName val="1005-2 クラス編成ヘルパーmoto"/>
      <sheetName val="1005-2 時間割作成　アン"/>
      <sheetName val="1005  らくらくから　クラス基本情報 (アン) (3)"/>
      <sheetName val="1006　教材マスタ"/>
      <sheetName val="1004　クラス作成 "/>
      <sheetName val="21910 プレミエール　通期"/>
      <sheetName val="21911 プレミエール　講習"/>
      <sheetName val="21901  小学受験部 年少.年中 通期"/>
      <sheetName val="21902  小学受験部 年少・年中　 講習"/>
      <sheetName val="21903  小学受験部 年長 通期 "/>
      <sheetName val="21904  小学受験部 年長 講習"/>
      <sheetName val="21905  小学受験部 年中 金山土曜日１"/>
      <sheetName val="21906  小学受験部 年中 金山土曜日２"/>
      <sheetName val="21907 プレミアム　第１・３"/>
      <sheetName val="21908 プレミアム　第２・４"/>
      <sheetName val="21909 プレミアム　9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>
        <row r="2">
          <cell r="M2" t="str">
            <v>元日</v>
          </cell>
          <cell r="N2" t="str">
            <v>2019/1/1</v>
          </cell>
        </row>
        <row r="3">
          <cell r="M3" t="str">
            <v>成人の日</v>
          </cell>
          <cell r="N3" t="str">
            <v>2019/1/14</v>
          </cell>
        </row>
        <row r="4">
          <cell r="M4" t="str">
            <v>建国記念の日</v>
          </cell>
          <cell r="N4" t="str">
            <v>2019/2/11</v>
          </cell>
        </row>
        <row r="5">
          <cell r="M5" t="str">
            <v>春分の日</v>
          </cell>
          <cell r="N5" t="str">
            <v>2019/3/21</v>
          </cell>
        </row>
        <row r="6">
          <cell r="M6" t="str">
            <v>昭和の日</v>
          </cell>
          <cell r="N6" t="str">
            <v>2019/4/29</v>
          </cell>
        </row>
        <row r="7">
          <cell r="M7" t="str">
            <v>国民の休日</v>
          </cell>
          <cell r="N7" t="str">
            <v>2019/4/30</v>
          </cell>
        </row>
        <row r="8">
          <cell r="M8" t="str">
            <v>天皇の即位の日</v>
          </cell>
          <cell r="N8" t="str">
            <v>2019/5/1</v>
          </cell>
        </row>
        <row r="9">
          <cell r="M9" t="str">
            <v>国民の休日</v>
          </cell>
          <cell r="N9" t="str">
            <v>2019/5/2</v>
          </cell>
        </row>
        <row r="10">
          <cell r="M10" t="str">
            <v>憲法記念日</v>
          </cell>
          <cell r="N10" t="str">
            <v>2019/5/3</v>
          </cell>
        </row>
        <row r="11">
          <cell r="M11" t="str">
            <v>みどりの日</v>
          </cell>
          <cell r="N11" t="str">
            <v>2019/5/4</v>
          </cell>
        </row>
        <row r="12">
          <cell r="M12" t="str">
            <v>こどもの日</v>
          </cell>
          <cell r="N12" t="str">
            <v>2019/5/5</v>
          </cell>
        </row>
        <row r="13">
          <cell r="M13" t="str">
            <v>振替休日</v>
          </cell>
          <cell r="N13" t="str">
            <v>2019/5/6</v>
          </cell>
        </row>
        <row r="14">
          <cell r="M14" t="str">
            <v>海の日</v>
          </cell>
          <cell r="N14" t="str">
            <v>2019/7/15</v>
          </cell>
        </row>
        <row r="15">
          <cell r="M15" t="str">
            <v>山の日</v>
          </cell>
          <cell r="N15" t="str">
            <v>2019/8/11</v>
          </cell>
        </row>
        <row r="16">
          <cell r="M16" t="str">
            <v>振替休日</v>
          </cell>
          <cell r="N16" t="str">
            <v>2019/8/12</v>
          </cell>
        </row>
        <row r="17">
          <cell r="M17" t="str">
            <v>敬老の日</v>
          </cell>
          <cell r="N17" t="str">
            <v>2019/9/16</v>
          </cell>
        </row>
        <row r="18">
          <cell r="M18" t="str">
            <v>秋分の日</v>
          </cell>
          <cell r="N18" t="str">
            <v>2019/9/23</v>
          </cell>
        </row>
        <row r="19">
          <cell r="M19" t="str">
            <v>体育の日</v>
          </cell>
          <cell r="N19" t="str">
            <v>2019/10/14</v>
          </cell>
        </row>
        <row r="20">
          <cell r="M20" t="str">
            <v>即位礼正殿の儀</v>
          </cell>
          <cell r="N20" t="str">
            <v>2019/10/22</v>
          </cell>
        </row>
        <row r="21">
          <cell r="M21" t="str">
            <v>文化の日</v>
          </cell>
          <cell r="N21" t="str">
            <v>2019/11/3</v>
          </cell>
        </row>
        <row r="22">
          <cell r="M22" t="str">
            <v>振替休日</v>
          </cell>
          <cell r="N22" t="str">
            <v>2019/11/4</v>
          </cell>
        </row>
        <row r="23">
          <cell r="M23" t="str">
            <v>勤労感謝の日</v>
          </cell>
          <cell r="N23" t="str">
            <v>2019/11/23</v>
          </cell>
        </row>
        <row r="24">
          <cell r="M24" t="str">
            <v>元日</v>
          </cell>
          <cell r="N24" t="str">
            <v>2020/1/1</v>
          </cell>
        </row>
        <row r="25">
          <cell r="M25" t="str">
            <v>成人の日</v>
          </cell>
          <cell r="N25" t="str">
            <v>2020/1/13</v>
          </cell>
        </row>
        <row r="26">
          <cell r="M26" t="str">
            <v>建国記念の日</v>
          </cell>
          <cell r="N26" t="str">
            <v>2020/2/11</v>
          </cell>
        </row>
        <row r="27">
          <cell r="M27" t="str">
            <v>天皇誕生日</v>
          </cell>
          <cell r="N27" t="str">
            <v>2020/2/23</v>
          </cell>
        </row>
        <row r="28">
          <cell r="M28" t="str">
            <v>振替休日</v>
          </cell>
          <cell r="N28" t="str">
            <v>2020/2/24</v>
          </cell>
        </row>
        <row r="29">
          <cell r="M29" t="str">
            <v>春分の日</v>
          </cell>
          <cell r="N29" t="str">
            <v>2020/3/20</v>
          </cell>
        </row>
        <row r="30">
          <cell r="M30" t="str">
            <v>昭和の日</v>
          </cell>
          <cell r="N30" t="str">
            <v>2020/4/29</v>
          </cell>
        </row>
        <row r="31">
          <cell r="M31" t="str">
            <v>憲法記念日</v>
          </cell>
          <cell r="N31" t="str">
            <v>2020/5/3</v>
          </cell>
        </row>
        <row r="32">
          <cell r="M32" t="str">
            <v>みどりの日</v>
          </cell>
          <cell r="N32" t="str">
            <v>2020/5/4</v>
          </cell>
        </row>
        <row r="33">
          <cell r="M33" t="str">
            <v>こどもの日</v>
          </cell>
          <cell r="N33" t="str">
            <v>2020/5/5</v>
          </cell>
        </row>
        <row r="34">
          <cell r="M34" t="str">
            <v>振替休日</v>
          </cell>
          <cell r="N34" t="str">
            <v>2020/5/6</v>
          </cell>
        </row>
        <row r="35">
          <cell r="M35" t="str">
            <v>海の日</v>
          </cell>
          <cell r="N35" t="str">
            <v>2020/7/23</v>
          </cell>
        </row>
        <row r="36">
          <cell r="M36" t="str">
            <v>スポーツの日</v>
          </cell>
          <cell r="N36" t="str">
            <v>2020/7/24</v>
          </cell>
        </row>
        <row r="37">
          <cell r="M37" t="str">
            <v>山の日</v>
          </cell>
          <cell r="N37" t="str">
            <v>2020/8/10</v>
          </cell>
        </row>
        <row r="38">
          <cell r="M38" t="str">
            <v>敬老の日</v>
          </cell>
          <cell r="N38" t="str">
            <v>2020/9/21</v>
          </cell>
        </row>
        <row r="39">
          <cell r="M39" t="str">
            <v>秋分の日</v>
          </cell>
          <cell r="N39" t="str">
            <v>2020/9/22</v>
          </cell>
        </row>
        <row r="40">
          <cell r="M40" t="str">
            <v>文化の日</v>
          </cell>
          <cell r="N40" t="str">
            <v>2020/11/3</v>
          </cell>
        </row>
        <row r="41">
          <cell r="M41" t="str">
            <v>勤労感謝の日</v>
          </cell>
          <cell r="N41" t="str">
            <v>2020/11/23</v>
          </cell>
        </row>
        <row r="42">
          <cell r="M42" t="str">
            <v>元日</v>
          </cell>
          <cell r="N42" t="str">
            <v>2021/1/1</v>
          </cell>
        </row>
        <row r="43">
          <cell r="M43" t="str">
            <v>成人の日</v>
          </cell>
          <cell r="N43" t="str">
            <v>2021/1/11</v>
          </cell>
        </row>
        <row r="44">
          <cell r="M44" t="str">
            <v>建国記念の日</v>
          </cell>
          <cell r="N44" t="str">
            <v>2021/2/11</v>
          </cell>
        </row>
        <row r="45">
          <cell r="M45" t="str">
            <v>天皇誕生日</v>
          </cell>
          <cell r="N45" t="str">
            <v>2021/2/23</v>
          </cell>
        </row>
        <row r="46">
          <cell r="M46" t="str">
            <v>春分の日</v>
          </cell>
          <cell r="N46" t="str">
            <v>2021/3/20</v>
          </cell>
        </row>
        <row r="47">
          <cell r="M47" t="str">
            <v>昭和の日</v>
          </cell>
          <cell r="N47" t="str">
            <v>2021/4/29</v>
          </cell>
        </row>
        <row r="48">
          <cell r="M48" t="str">
            <v>憲法記念日</v>
          </cell>
          <cell r="N48" t="str">
            <v>2021/5/3</v>
          </cell>
        </row>
        <row r="49">
          <cell r="M49" t="str">
            <v>みどりの日</v>
          </cell>
          <cell r="N49" t="str">
            <v>2021/5/4</v>
          </cell>
        </row>
        <row r="50">
          <cell r="M50" t="str">
            <v>こどもの日</v>
          </cell>
          <cell r="N50" t="str">
            <v>2021/5/5</v>
          </cell>
        </row>
        <row r="51">
          <cell r="M51" t="str">
            <v>海の日</v>
          </cell>
          <cell r="N51" t="str">
            <v>2021/7/19</v>
          </cell>
        </row>
        <row r="52">
          <cell r="M52" t="str">
            <v>山の日</v>
          </cell>
          <cell r="N52" t="str">
            <v>2021/8/11</v>
          </cell>
        </row>
        <row r="53">
          <cell r="M53" t="str">
            <v>敬老の日</v>
          </cell>
          <cell r="N53" t="str">
            <v>2021/9/20</v>
          </cell>
        </row>
        <row r="54">
          <cell r="M54" t="str">
            <v>秋分の日</v>
          </cell>
          <cell r="N54" t="str">
            <v>2021/9/23</v>
          </cell>
        </row>
        <row r="55">
          <cell r="M55" t="str">
            <v>スポーツの日</v>
          </cell>
          <cell r="N55" t="str">
            <v>2021/10/11</v>
          </cell>
        </row>
        <row r="56">
          <cell r="M56" t="str">
            <v>文化の日</v>
          </cell>
          <cell r="N56" t="str">
            <v>2021/11/3</v>
          </cell>
        </row>
        <row r="57">
          <cell r="M57" t="str">
            <v>勤労感謝の日</v>
          </cell>
          <cell r="N57" t="str">
            <v>2021/11/23</v>
          </cell>
        </row>
        <row r="58">
          <cell r="M58" t="str">
            <v>元日</v>
          </cell>
          <cell r="N58" t="str">
            <v>2022/1/1</v>
          </cell>
        </row>
        <row r="59">
          <cell r="M59" t="str">
            <v>成人の日</v>
          </cell>
          <cell r="N59" t="str">
            <v>2022/1/10</v>
          </cell>
        </row>
        <row r="60">
          <cell r="M60" t="str">
            <v>建国記念の日</v>
          </cell>
          <cell r="N60" t="str">
            <v>2022/2/11</v>
          </cell>
        </row>
        <row r="61">
          <cell r="M61" t="str">
            <v>天皇誕生日</v>
          </cell>
          <cell r="N61" t="str">
            <v>2022/2/23</v>
          </cell>
        </row>
        <row r="62">
          <cell r="M62" t="str">
            <v>春分の日</v>
          </cell>
          <cell r="N62" t="str">
            <v>2022/3/21</v>
          </cell>
        </row>
        <row r="63">
          <cell r="M63" t="str">
            <v>昭和の日</v>
          </cell>
          <cell r="N63" t="str">
            <v>2022/4/29</v>
          </cell>
        </row>
        <row r="64">
          <cell r="M64" t="str">
            <v>憲法記念日</v>
          </cell>
          <cell r="N64" t="str">
            <v>2022/5/3</v>
          </cell>
        </row>
        <row r="65">
          <cell r="M65" t="str">
            <v>みどりの日</v>
          </cell>
          <cell r="N65" t="str">
            <v>2022/5/4</v>
          </cell>
        </row>
        <row r="66">
          <cell r="M66" t="str">
            <v>こどもの日</v>
          </cell>
          <cell r="N66" t="str">
            <v>2022/5/5</v>
          </cell>
        </row>
        <row r="67">
          <cell r="M67" t="str">
            <v>海の日</v>
          </cell>
          <cell r="N67" t="str">
            <v>2022/7/18</v>
          </cell>
        </row>
        <row r="68">
          <cell r="M68" t="str">
            <v>山の日</v>
          </cell>
          <cell r="N68" t="str">
            <v>2022/8/11</v>
          </cell>
        </row>
        <row r="69">
          <cell r="M69" t="str">
            <v>敬老の日</v>
          </cell>
          <cell r="N69" t="str">
            <v>2022/9/19</v>
          </cell>
        </row>
        <row r="70">
          <cell r="M70" t="str">
            <v>秋分の日</v>
          </cell>
          <cell r="N70" t="str">
            <v>2022/9/23</v>
          </cell>
        </row>
        <row r="71">
          <cell r="M71" t="str">
            <v>スポーツの日</v>
          </cell>
          <cell r="N71" t="str">
            <v>2022/10/10</v>
          </cell>
        </row>
        <row r="72">
          <cell r="M72" t="str">
            <v>文化の日</v>
          </cell>
          <cell r="N72" t="str">
            <v>2022/11/3</v>
          </cell>
        </row>
        <row r="73">
          <cell r="M73" t="str">
            <v>勤労感謝の日</v>
          </cell>
          <cell r="N73" t="str">
            <v>2022/11/23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ばらばら　反映忘れるな！"/>
    </sheetNames>
    <sheetDataSet>
      <sheetData sheetId="0">
        <row r="2">
          <cell r="K2" t="str">
            <v>アンイングリッシュクラブ</v>
          </cell>
          <cell r="L2" t="str">
            <v>B0001</v>
          </cell>
        </row>
        <row r="3">
          <cell r="K3" t="str">
            <v>アンそろばんクラブ</v>
          </cell>
          <cell r="L3" t="str">
            <v>B0002</v>
          </cell>
        </row>
        <row r="4">
          <cell r="K4" t="str">
            <v>アンインターナショナル</v>
          </cell>
          <cell r="L4" t="str">
            <v>B0004</v>
          </cell>
        </row>
        <row r="5">
          <cell r="K5" t="str">
            <v>アンさんこくキッズ</v>
          </cell>
          <cell r="L5" t="str">
            <v>B0011</v>
          </cell>
        </row>
        <row r="6">
          <cell r="K6" t="str">
            <v>アン算国クラブ（準拠）</v>
          </cell>
          <cell r="L6" t="str">
            <v>B0014</v>
          </cell>
        </row>
        <row r="7">
          <cell r="K7" t="str">
            <v>アン進学ジム【小学部】</v>
          </cell>
          <cell r="L7" t="str">
            <v>B0015</v>
          </cell>
        </row>
        <row r="8">
          <cell r="K8" t="str">
            <v>アン進学ジム【中学部】</v>
          </cell>
          <cell r="L8" t="str">
            <v>B0016</v>
          </cell>
        </row>
        <row r="9">
          <cell r="K9" t="str">
            <v>マンツーマン学院</v>
          </cell>
          <cell r="L9" t="str">
            <v>B0017</v>
          </cell>
        </row>
        <row r="10">
          <cell r="K10" t="str">
            <v>エデュプラス</v>
          </cell>
          <cell r="L10" t="str">
            <v>B0027</v>
          </cell>
        </row>
        <row r="11">
          <cell r="K11" t="str">
            <v>千種校　中学受験コース</v>
          </cell>
          <cell r="L11" t="str">
            <v>B0028</v>
          </cell>
        </row>
        <row r="12">
          <cell r="K12" t="str">
            <v>アンプログラミングクラブ</v>
          </cell>
          <cell r="L12" t="str">
            <v>B0058</v>
          </cell>
        </row>
        <row r="13">
          <cell r="K13" t="str">
            <v>須田塾 志望校合格コース</v>
          </cell>
          <cell r="L13" t="str">
            <v>B0071</v>
          </cell>
        </row>
        <row r="14">
          <cell r="K14" t="str">
            <v>須田塾  小学生選抜クラス</v>
          </cell>
          <cell r="L14" t="str">
            <v>B0080</v>
          </cell>
        </row>
        <row r="15">
          <cell r="K15" t="str">
            <v>須田塾 小学生学力向上コース</v>
          </cell>
          <cell r="L15" t="str">
            <v>B0082</v>
          </cell>
        </row>
        <row r="16">
          <cell r="K16" t="str">
            <v>須田塾  中学生選抜コース</v>
          </cell>
          <cell r="L16" t="str">
            <v>B0083</v>
          </cell>
        </row>
        <row r="17">
          <cell r="K17" t="str">
            <v>アン美文字クラブ</v>
          </cell>
          <cell r="L17" t="str">
            <v>B0094</v>
          </cell>
        </row>
        <row r="18">
          <cell r="K18" t="str">
            <v>塾　春期講習会（時間割用）</v>
          </cell>
          <cell r="L18" t="str">
            <v>B0096</v>
          </cell>
        </row>
        <row r="19">
          <cell r="K19" t="str">
            <v>さんこく　夏期講習会（時間割用）</v>
          </cell>
          <cell r="L19" t="str">
            <v>B0118</v>
          </cell>
        </row>
        <row r="20">
          <cell r="K20" t="str">
            <v>プログラミング　夏期講習会（時間割用）</v>
          </cell>
          <cell r="L20" t="str">
            <v>B0119</v>
          </cell>
        </row>
        <row r="21">
          <cell r="K21" t="str">
            <v>塾　夏期講習会（時間割用）</v>
          </cell>
          <cell r="L21" t="str">
            <v>B0120</v>
          </cell>
        </row>
        <row r="22">
          <cell r="K22" t="str">
            <v>アン将棋クラブ</v>
          </cell>
          <cell r="L22" t="str">
            <v>B0122</v>
          </cell>
        </row>
        <row r="23">
          <cell r="K23" t="str">
            <v>アンまなびワールド</v>
          </cell>
          <cell r="L23" t="str">
            <v>B0135</v>
          </cell>
        </row>
        <row r="24">
          <cell r="K24" t="str">
            <v>【星煌学院】アンイングリッシュクラブ</v>
          </cell>
          <cell r="L24" t="str">
            <v>B0144</v>
          </cell>
        </row>
        <row r="25">
          <cell r="K25" t="str">
            <v>【星煌学院】アンそろばんクラブ</v>
          </cell>
          <cell r="L25" t="str">
            <v>B0145</v>
          </cell>
        </row>
        <row r="26">
          <cell r="K26" t="str">
            <v>【星煌学院】アンプログラミングクラブ</v>
          </cell>
          <cell r="L26" t="str">
            <v>B0146</v>
          </cell>
        </row>
        <row r="27">
          <cell r="K27" t="str">
            <v>【星煌学院】アン美文字クラブ</v>
          </cell>
          <cell r="L27" t="str">
            <v>B0147</v>
          </cell>
        </row>
        <row r="28">
          <cell r="K28" t="str">
            <v>【星煌学院】アンさんこくキッズ</v>
          </cell>
          <cell r="L28" t="str">
            <v>B0148</v>
          </cell>
        </row>
        <row r="29">
          <cell r="K29" t="str">
            <v>将棋クラブ　夏期講習会（時間割用）</v>
          </cell>
          <cell r="L29" t="str">
            <v>B0149</v>
          </cell>
        </row>
        <row r="30">
          <cell r="K30" t="str">
            <v>アン進学ジム【高校部】</v>
          </cell>
          <cell r="L30" t="str">
            <v>B0153</v>
          </cell>
        </row>
        <row r="31">
          <cell r="K31" t="str">
            <v>須田塾【高校部】</v>
          </cell>
          <cell r="L31" t="str">
            <v>B0154</v>
          </cell>
        </row>
        <row r="32">
          <cell r="K32" t="str">
            <v>アン合格サクセス</v>
          </cell>
          <cell r="L32" t="str">
            <v>B0155</v>
          </cell>
        </row>
        <row r="33">
          <cell r="K33" t="str">
            <v>コラボカルチャー</v>
          </cell>
          <cell r="L33" t="str">
            <v>B0156</v>
          </cell>
        </row>
        <row r="34">
          <cell r="K34" t="str">
            <v>幼児教育のサクセス</v>
          </cell>
          <cell r="L34" t="str">
            <v>B0157</v>
          </cell>
        </row>
        <row r="35">
          <cell r="K35" t="str">
            <v>【星煌学院】アン将棋クラブ</v>
          </cell>
          <cell r="L35" t="str">
            <v>B0159</v>
          </cell>
        </row>
        <row r="36">
          <cell r="K36" t="str">
            <v>プラチナステージ</v>
          </cell>
          <cell r="L36" t="str">
            <v>B0160</v>
          </cell>
        </row>
        <row r="37">
          <cell r="K37" t="str">
            <v>【保護者参観日】アンイングリッシュクラブ</v>
          </cell>
          <cell r="L37" t="str">
            <v>B0161</v>
          </cell>
        </row>
        <row r="38">
          <cell r="K38" t="str">
            <v>算国クラブ　夏期講習会（時間割用）</v>
          </cell>
          <cell r="L38" t="str">
            <v>B0163</v>
          </cell>
        </row>
        <row r="39">
          <cell r="K39" t="str">
            <v>須田塾　夏期講習会（時間割用）</v>
          </cell>
          <cell r="L39" t="str">
            <v>B0165</v>
          </cell>
        </row>
        <row r="40">
          <cell r="K40" t="str">
            <v>なかざわ書道教室</v>
          </cell>
          <cell r="L40" t="str">
            <v>B0166</v>
          </cell>
        </row>
        <row r="41">
          <cell r="K41" t="str">
            <v>サクセス附中受験科</v>
          </cell>
          <cell r="L41" t="str">
            <v>B0167</v>
          </cell>
        </row>
        <row r="42">
          <cell r="K42" t="str">
            <v>サクセス小学部</v>
          </cell>
          <cell r="L42" t="str">
            <v>B0168</v>
          </cell>
        </row>
        <row r="43">
          <cell r="K43" t="str">
            <v>サクセス中学部</v>
          </cell>
          <cell r="L43" t="str">
            <v>B0169</v>
          </cell>
        </row>
        <row r="44">
          <cell r="K44" t="str">
            <v>附小サクセス</v>
          </cell>
          <cell r="L44" t="str">
            <v>B0170</v>
          </cell>
        </row>
        <row r="45">
          <cell r="K45" t="str">
            <v>サクセス附小専科</v>
          </cell>
          <cell r="L45" t="str">
            <v>B0171</v>
          </cell>
        </row>
        <row r="46">
          <cell r="K46" t="str">
            <v>サクセス高校部</v>
          </cell>
          <cell r="L46" t="str">
            <v>B0172</v>
          </cell>
        </row>
        <row r="47">
          <cell r="K47" t="str">
            <v>アンイングリッシュグラマー</v>
          </cell>
          <cell r="L47" t="str">
            <v>B0173</v>
          </cell>
        </row>
        <row r="48">
          <cell r="K48"/>
          <cell r="L48" t="str">
            <v>B0174</v>
          </cell>
        </row>
        <row r="49">
          <cell r="K49"/>
          <cell r="L49" t="str">
            <v>B0175</v>
          </cell>
        </row>
        <row r="50">
          <cell r="K50"/>
          <cell r="L50" t="str">
            <v>B0176</v>
          </cell>
        </row>
        <row r="51">
          <cell r="K51"/>
          <cell r="L51" t="str">
            <v>B0177</v>
          </cell>
        </row>
        <row r="52">
          <cell r="K52"/>
          <cell r="L52" t="str">
            <v>B0178</v>
          </cell>
        </row>
        <row r="53">
          <cell r="K53"/>
          <cell r="L53" t="str">
            <v>B0179</v>
          </cell>
        </row>
        <row r="54">
          <cell r="K54"/>
          <cell r="L54" t="str">
            <v>B0180</v>
          </cell>
        </row>
        <row r="55">
          <cell r="K55"/>
          <cell r="L55" t="str">
            <v>B0181</v>
          </cell>
        </row>
        <row r="56">
          <cell r="K56"/>
          <cell r="L56" t="str">
            <v>B0182</v>
          </cell>
        </row>
        <row r="57">
          <cell r="K57"/>
          <cell r="L57" t="str">
            <v>B0183</v>
          </cell>
        </row>
        <row r="58">
          <cell r="K58"/>
          <cell r="L58" t="str">
            <v>B0184</v>
          </cell>
        </row>
        <row r="59">
          <cell r="K59"/>
          <cell r="L59" t="str">
            <v>B0185</v>
          </cell>
        </row>
        <row r="60">
          <cell r="K60"/>
          <cell r="L60" t="str">
            <v>B0186</v>
          </cell>
        </row>
        <row r="64">
          <cell r="K64" t="str">
            <v>B0083_T0653_C4112_S0045_20_1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C281-D6C5-459E-93D7-8EB22B299F2A}">
  <sheetPr codeName="Sheet1"/>
  <dimension ref="B1:H5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2" sqref="F12"/>
    </sheetView>
  </sheetViews>
  <sheetFormatPr defaultRowHeight="12.75" x14ac:dyDescent="0.4"/>
  <cols>
    <col min="1" max="1" width="2.75" style="6" customWidth="1"/>
    <col min="2" max="2" width="3" style="6" customWidth="1"/>
    <col min="3" max="3" width="16.375" style="6" customWidth="1"/>
    <col min="4" max="4" width="20.5" style="6" customWidth="1"/>
    <col min="5" max="5" width="17.875" style="12" customWidth="1"/>
    <col min="6" max="6" width="77" style="6" customWidth="1"/>
    <col min="7" max="7" width="2.25" style="6" customWidth="1"/>
    <col min="8" max="8" width="53.125" style="6" customWidth="1"/>
    <col min="9" max="16384" width="9" style="6"/>
  </cols>
  <sheetData>
    <row r="1" spans="2:8" x14ac:dyDescent="0.4">
      <c r="B1" s="7"/>
      <c r="C1" s="8" t="s">
        <v>172</v>
      </c>
      <c r="D1" s="9" t="s">
        <v>173</v>
      </c>
      <c r="E1" s="10"/>
      <c r="F1" s="11" t="s">
        <v>171</v>
      </c>
      <c r="G1" s="4"/>
      <c r="H1" s="5" t="s">
        <v>170</v>
      </c>
    </row>
    <row r="2" spans="2:8" x14ac:dyDescent="0.4">
      <c r="B2" s="6">
        <v>1</v>
      </c>
      <c r="C2" s="2" t="s">
        <v>160</v>
      </c>
      <c r="D2" s="3">
        <f>COUNTIF($C$4:$XFD$4,D4)</f>
        <v>1</v>
      </c>
      <c r="E2" s="3">
        <f>COUNTIF($C$4:$XFD$4,E4)</f>
        <v>1</v>
      </c>
      <c r="G2" s="4">
        <f>B2</f>
        <v>1</v>
      </c>
    </row>
    <row r="3" spans="2:8" x14ac:dyDescent="0.4">
      <c r="B3" s="6">
        <v>2</v>
      </c>
      <c r="C3" s="2" t="s">
        <v>232</v>
      </c>
      <c r="D3" s="3">
        <v>1</v>
      </c>
      <c r="E3" s="3">
        <v>1</v>
      </c>
      <c r="F3" s="6" t="s">
        <v>233</v>
      </c>
      <c r="G3" s="4">
        <f t="shared" ref="G3:G55" si="0">B3</f>
        <v>2</v>
      </c>
    </row>
    <row r="4" spans="2:8" x14ac:dyDescent="0.4">
      <c r="B4" s="6">
        <v>3</v>
      </c>
      <c r="C4" s="13" t="s">
        <v>213</v>
      </c>
      <c r="D4" s="3" t="s">
        <v>0</v>
      </c>
      <c r="E4" s="3" t="s">
        <v>2</v>
      </c>
      <c r="F4" s="14" t="s">
        <v>234</v>
      </c>
      <c r="G4" s="4">
        <f t="shared" si="0"/>
        <v>3</v>
      </c>
    </row>
    <row r="5" spans="2:8" x14ac:dyDescent="0.4">
      <c r="B5" s="6">
        <v>4</v>
      </c>
      <c r="C5" s="13" t="s">
        <v>176</v>
      </c>
      <c r="D5" s="3" t="s">
        <v>1</v>
      </c>
      <c r="E5" s="3" t="s">
        <v>161</v>
      </c>
      <c r="F5" s="14"/>
      <c r="G5" s="4">
        <f t="shared" si="0"/>
        <v>4</v>
      </c>
    </row>
    <row r="6" spans="2:8" x14ac:dyDescent="0.4">
      <c r="B6" s="6">
        <v>5</v>
      </c>
      <c r="C6" s="2" t="s">
        <v>85</v>
      </c>
      <c r="D6" s="3" t="s">
        <v>87</v>
      </c>
      <c r="E6" s="3" t="s">
        <v>89</v>
      </c>
      <c r="F6" s="6" t="s">
        <v>235</v>
      </c>
      <c r="G6" s="4">
        <f t="shared" si="0"/>
        <v>5</v>
      </c>
    </row>
    <row r="7" spans="2:8" x14ac:dyDescent="0.4">
      <c r="B7" s="6">
        <v>6</v>
      </c>
      <c r="C7" s="2" t="s">
        <v>86</v>
      </c>
      <c r="D7" s="3" t="s">
        <v>88</v>
      </c>
      <c r="E7" s="3" t="s">
        <v>90</v>
      </c>
      <c r="F7" s="6" t="s">
        <v>236</v>
      </c>
      <c r="G7" s="4">
        <f t="shared" si="0"/>
        <v>6</v>
      </c>
    </row>
    <row r="8" spans="2:8" x14ac:dyDescent="0.4">
      <c r="B8" s="6">
        <v>7</v>
      </c>
      <c r="C8" s="13" t="s">
        <v>174</v>
      </c>
      <c r="D8" s="3" t="str">
        <f>VLOOKUP(D9,'[5]IDばらばら　反映忘れるな！'!K$2:L$81,2,0)</f>
        <v>B0001</v>
      </c>
      <c r="E8" s="3" t="str">
        <f>VLOOKUP(E9,'[5]IDばらばら　反映忘れるな！'!K$2:L$81,2,0)</f>
        <v>B0002</v>
      </c>
      <c r="F8" s="14" t="s">
        <v>237</v>
      </c>
      <c r="G8" s="4">
        <f t="shared" si="0"/>
        <v>7</v>
      </c>
    </row>
    <row r="9" spans="2:8" x14ac:dyDescent="0.4">
      <c r="B9" s="6">
        <v>8</v>
      </c>
      <c r="C9" s="13" t="s">
        <v>175</v>
      </c>
      <c r="D9" s="3" t="s">
        <v>1</v>
      </c>
      <c r="E9" s="3" t="s">
        <v>161</v>
      </c>
      <c r="F9" s="14" t="s">
        <v>238</v>
      </c>
      <c r="G9" s="4">
        <f t="shared" si="0"/>
        <v>8</v>
      </c>
    </row>
    <row r="10" spans="2:8" x14ac:dyDescent="0.4">
      <c r="B10" s="6">
        <v>9</v>
      </c>
      <c r="G10" s="4">
        <f t="shared" si="0"/>
        <v>9</v>
      </c>
    </row>
    <row r="11" spans="2:8" x14ac:dyDescent="0.4">
      <c r="B11" s="6">
        <v>10</v>
      </c>
      <c r="G11" s="4">
        <f t="shared" si="0"/>
        <v>10</v>
      </c>
    </row>
    <row r="12" spans="2:8" x14ac:dyDescent="0.4">
      <c r="B12" s="6">
        <v>11</v>
      </c>
      <c r="G12" s="4">
        <f t="shared" si="0"/>
        <v>11</v>
      </c>
    </row>
    <row r="13" spans="2:8" x14ac:dyDescent="0.4">
      <c r="B13" s="6">
        <v>12</v>
      </c>
      <c r="G13" s="4">
        <f t="shared" si="0"/>
        <v>12</v>
      </c>
    </row>
    <row r="14" spans="2:8" x14ac:dyDescent="0.4">
      <c r="B14" s="6">
        <v>13</v>
      </c>
      <c r="G14" s="4">
        <f t="shared" si="0"/>
        <v>13</v>
      </c>
    </row>
    <row r="15" spans="2:8" x14ac:dyDescent="0.4">
      <c r="B15" s="6">
        <v>14</v>
      </c>
      <c r="G15" s="4">
        <f t="shared" si="0"/>
        <v>14</v>
      </c>
    </row>
    <row r="16" spans="2:8" x14ac:dyDescent="0.4">
      <c r="B16" s="6">
        <v>15</v>
      </c>
      <c r="G16" s="4">
        <f t="shared" si="0"/>
        <v>15</v>
      </c>
    </row>
    <row r="17" spans="2:7" x14ac:dyDescent="0.4">
      <c r="B17" s="6">
        <v>16</v>
      </c>
      <c r="G17" s="4">
        <f t="shared" si="0"/>
        <v>16</v>
      </c>
    </row>
    <row r="18" spans="2:7" x14ac:dyDescent="0.4">
      <c r="B18" s="6">
        <v>17</v>
      </c>
      <c r="G18" s="4">
        <f t="shared" si="0"/>
        <v>17</v>
      </c>
    </row>
    <row r="19" spans="2:7" x14ac:dyDescent="0.4">
      <c r="B19" s="6">
        <v>18</v>
      </c>
      <c r="G19" s="4">
        <f t="shared" si="0"/>
        <v>18</v>
      </c>
    </row>
    <row r="20" spans="2:7" x14ac:dyDescent="0.4">
      <c r="B20" s="6">
        <v>19</v>
      </c>
      <c r="G20" s="4">
        <f t="shared" si="0"/>
        <v>19</v>
      </c>
    </row>
    <row r="21" spans="2:7" x14ac:dyDescent="0.4">
      <c r="B21" s="6">
        <v>20</v>
      </c>
      <c r="G21" s="4">
        <f t="shared" si="0"/>
        <v>20</v>
      </c>
    </row>
    <row r="22" spans="2:7" x14ac:dyDescent="0.4">
      <c r="B22" s="6">
        <v>21</v>
      </c>
      <c r="G22" s="4">
        <f t="shared" si="0"/>
        <v>21</v>
      </c>
    </row>
    <row r="23" spans="2:7" x14ac:dyDescent="0.4">
      <c r="B23" s="6">
        <v>22</v>
      </c>
      <c r="G23" s="4">
        <f t="shared" si="0"/>
        <v>22</v>
      </c>
    </row>
    <row r="24" spans="2:7" x14ac:dyDescent="0.4">
      <c r="B24" s="6">
        <v>23</v>
      </c>
      <c r="G24" s="4">
        <f t="shared" si="0"/>
        <v>23</v>
      </c>
    </row>
    <row r="25" spans="2:7" x14ac:dyDescent="0.4">
      <c r="B25" s="6">
        <v>24</v>
      </c>
      <c r="G25" s="4">
        <f t="shared" si="0"/>
        <v>24</v>
      </c>
    </row>
    <row r="26" spans="2:7" x14ac:dyDescent="0.4">
      <c r="B26" s="6">
        <v>25</v>
      </c>
      <c r="G26" s="4">
        <f t="shared" si="0"/>
        <v>25</v>
      </c>
    </row>
    <row r="27" spans="2:7" x14ac:dyDescent="0.4">
      <c r="B27" s="6">
        <v>26</v>
      </c>
      <c r="G27" s="4">
        <f t="shared" si="0"/>
        <v>26</v>
      </c>
    </row>
    <row r="28" spans="2:7" x14ac:dyDescent="0.4">
      <c r="B28" s="6">
        <v>27</v>
      </c>
      <c r="G28" s="4">
        <f t="shared" si="0"/>
        <v>27</v>
      </c>
    </row>
    <row r="29" spans="2:7" x14ac:dyDescent="0.4">
      <c r="B29" s="6">
        <v>28</v>
      </c>
      <c r="G29" s="4">
        <f t="shared" si="0"/>
        <v>28</v>
      </c>
    </row>
    <row r="30" spans="2:7" x14ac:dyDescent="0.4">
      <c r="B30" s="6">
        <v>29</v>
      </c>
      <c r="G30" s="4">
        <f t="shared" si="0"/>
        <v>29</v>
      </c>
    </row>
    <row r="31" spans="2:7" x14ac:dyDescent="0.4">
      <c r="B31" s="6">
        <v>30</v>
      </c>
      <c r="G31" s="4">
        <f t="shared" si="0"/>
        <v>30</v>
      </c>
    </row>
    <row r="32" spans="2:7" x14ac:dyDescent="0.4">
      <c r="B32" s="6">
        <v>31</v>
      </c>
      <c r="G32" s="4">
        <f t="shared" si="0"/>
        <v>31</v>
      </c>
    </row>
    <row r="33" spans="2:7" x14ac:dyDescent="0.4">
      <c r="B33" s="6">
        <v>32</v>
      </c>
      <c r="G33" s="4">
        <f t="shared" si="0"/>
        <v>32</v>
      </c>
    </row>
    <row r="34" spans="2:7" x14ac:dyDescent="0.4">
      <c r="B34" s="6">
        <v>33</v>
      </c>
      <c r="G34" s="4">
        <f t="shared" si="0"/>
        <v>33</v>
      </c>
    </row>
    <row r="35" spans="2:7" x14ac:dyDescent="0.4">
      <c r="B35" s="6">
        <v>34</v>
      </c>
      <c r="G35" s="4">
        <f t="shared" si="0"/>
        <v>34</v>
      </c>
    </row>
    <row r="36" spans="2:7" x14ac:dyDescent="0.4">
      <c r="B36" s="6">
        <v>35</v>
      </c>
      <c r="G36" s="4">
        <f t="shared" si="0"/>
        <v>35</v>
      </c>
    </row>
    <row r="37" spans="2:7" x14ac:dyDescent="0.4">
      <c r="B37" s="6">
        <v>36</v>
      </c>
      <c r="G37" s="4">
        <f t="shared" si="0"/>
        <v>36</v>
      </c>
    </row>
    <row r="38" spans="2:7" x14ac:dyDescent="0.4">
      <c r="B38" s="6">
        <v>37</v>
      </c>
      <c r="G38" s="4">
        <f t="shared" si="0"/>
        <v>37</v>
      </c>
    </row>
    <row r="39" spans="2:7" x14ac:dyDescent="0.4">
      <c r="B39" s="6">
        <v>38</v>
      </c>
      <c r="G39" s="4">
        <f t="shared" si="0"/>
        <v>38</v>
      </c>
    </row>
    <row r="40" spans="2:7" x14ac:dyDescent="0.4">
      <c r="B40" s="6">
        <v>39</v>
      </c>
      <c r="G40" s="4">
        <f t="shared" si="0"/>
        <v>39</v>
      </c>
    </row>
    <row r="41" spans="2:7" x14ac:dyDescent="0.4">
      <c r="B41" s="6">
        <v>40</v>
      </c>
      <c r="G41" s="4">
        <f t="shared" si="0"/>
        <v>40</v>
      </c>
    </row>
    <row r="42" spans="2:7" x14ac:dyDescent="0.4">
      <c r="B42" s="6">
        <v>41</v>
      </c>
      <c r="G42" s="4">
        <f t="shared" si="0"/>
        <v>41</v>
      </c>
    </row>
    <row r="43" spans="2:7" x14ac:dyDescent="0.4">
      <c r="B43" s="6">
        <v>42</v>
      </c>
      <c r="G43" s="4">
        <f t="shared" si="0"/>
        <v>42</v>
      </c>
    </row>
    <row r="44" spans="2:7" x14ac:dyDescent="0.4">
      <c r="B44" s="6">
        <v>43</v>
      </c>
      <c r="G44" s="4">
        <f t="shared" si="0"/>
        <v>43</v>
      </c>
    </row>
    <row r="45" spans="2:7" x14ac:dyDescent="0.4">
      <c r="B45" s="6">
        <v>44</v>
      </c>
      <c r="G45" s="4">
        <f t="shared" si="0"/>
        <v>44</v>
      </c>
    </row>
    <row r="46" spans="2:7" x14ac:dyDescent="0.4">
      <c r="B46" s="6">
        <v>45</v>
      </c>
      <c r="G46" s="4">
        <f t="shared" si="0"/>
        <v>45</v>
      </c>
    </row>
    <row r="47" spans="2:7" x14ac:dyDescent="0.4">
      <c r="B47" s="6">
        <v>46</v>
      </c>
      <c r="G47" s="4">
        <f t="shared" si="0"/>
        <v>46</v>
      </c>
    </row>
    <row r="48" spans="2:7" x14ac:dyDescent="0.4">
      <c r="B48" s="6">
        <v>47</v>
      </c>
      <c r="G48" s="4">
        <f t="shared" si="0"/>
        <v>47</v>
      </c>
    </row>
    <row r="49" spans="2:7" x14ac:dyDescent="0.4">
      <c r="B49" s="6">
        <v>48</v>
      </c>
      <c r="G49" s="4">
        <f t="shared" si="0"/>
        <v>48</v>
      </c>
    </row>
    <row r="50" spans="2:7" x14ac:dyDescent="0.4">
      <c r="B50" s="6">
        <v>49</v>
      </c>
      <c r="G50" s="4">
        <f t="shared" si="0"/>
        <v>49</v>
      </c>
    </row>
    <row r="51" spans="2:7" x14ac:dyDescent="0.4">
      <c r="B51" s="6">
        <v>50</v>
      </c>
      <c r="G51" s="4">
        <f t="shared" si="0"/>
        <v>50</v>
      </c>
    </row>
    <row r="52" spans="2:7" x14ac:dyDescent="0.4">
      <c r="B52" s="6">
        <v>51</v>
      </c>
      <c r="G52" s="4">
        <f t="shared" si="0"/>
        <v>51</v>
      </c>
    </row>
    <row r="53" spans="2:7" x14ac:dyDescent="0.4">
      <c r="B53" s="6">
        <v>52</v>
      </c>
      <c r="G53" s="4">
        <f t="shared" si="0"/>
        <v>52</v>
      </c>
    </row>
    <row r="54" spans="2:7" x14ac:dyDescent="0.4">
      <c r="B54" s="6">
        <v>53</v>
      </c>
      <c r="G54" s="4">
        <f t="shared" si="0"/>
        <v>53</v>
      </c>
    </row>
    <row r="55" spans="2:7" x14ac:dyDescent="0.4">
      <c r="B55" s="6">
        <v>54</v>
      </c>
      <c r="G55" s="4">
        <f t="shared" si="0"/>
        <v>54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0226-68BA-4AE9-8379-C43B7E5BD3D0}">
  <sheetPr codeName="Sheet2"/>
  <dimension ref="A1:H70"/>
  <sheetViews>
    <sheetView tabSelected="1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E31" sqref="E31"/>
    </sheetView>
  </sheetViews>
  <sheetFormatPr defaultRowHeight="12.75" x14ac:dyDescent="0.4"/>
  <cols>
    <col min="1" max="3" width="9" style="1"/>
    <col min="4" max="4" width="28" style="1" customWidth="1"/>
    <col min="5" max="5" width="30.875" style="1" bestFit="1" customWidth="1"/>
    <col min="6" max="6" width="23" style="1" customWidth="1"/>
    <col min="7" max="7" width="20.625" style="1" customWidth="1"/>
    <col min="8" max="8" width="22.75" style="1" customWidth="1"/>
    <col min="9" max="16384" width="9" style="1"/>
  </cols>
  <sheetData>
    <row r="1" spans="1:8" x14ac:dyDescent="0.4">
      <c r="A1" s="2" t="s">
        <v>247</v>
      </c>
      <c r="B1" s="2" t="s">
        <v>248</v>
      </c>
      <c r="C1" s="2" t="s">
        <v>245</v>
      </c>
      <c r="D1" s="2" t="s">
        <v>246</v>
      </c>
      <c r="E1" s="2" t="s">
        <v>85</v>
      </c>
      <c r="F1" s="2" t="s">
        <v>86</v>
      </c>
      <c r="G1" s="2" t="s">
        <v>249</v>
      </c>
      <c r="H1" s="2" t="s">
        <v>250</v>
      </c>
    </row>
    <row r="2" spans="1:8" x14ac:dyDescent="0.4">
      <c r="A2" s="3"/>
      <c r="B2" s="3">
        <v>1</v>
      </c>
      <c r="C2" s="3" t="s">
        <v>0</v>
      </c>
      <c r="D2" s="3" t="s">
        <v>1</v>
      </c>
      <c r="E2" s="3" t="s">
        <v>87</v>
      </c>
      <c r="F2" s="3" t="s">
        <v>137</v>
      </c>
      <c r="G2" s="3" t="s">
        <v>218</v>
      </c>
      <c r="H2" s="3" t="s">
        <v>1</v>
      </c>
    </row>
    <row r="3" spans="1:8" x14ac:dyDescent="0.4">
      <c r="A3" s="3"/>
      <c r="B3" s="3">
        <v>2</v>
      </c>
      <c r="C3" s="3" t="s">
        <v>2</v>
      </c>
      <c r="D3" s="3" t="s">
        <v>251</v>
      </c>
      <c r="E3" s="3" t="s">
        <v>89</v>
      </c>
      <c r="F3" s="3" t="s">
        <v>90</v>
      </c>
      <c r="G3" s="3" t="s">
        <v>180</v>
      </c>
      <c r="H3" s="3" t="s">
        <v>251</v>
      </c>
    </row>
    <row r="4" spans="1:8" x14ac:dyDescent="0.4">
      <c r="A4" s="3"/>
      <c r="B4" s="3">
        <v>3</v>
      </c>
      <c r="C4" s="3" t="s">
        <v>3</v>
      </c>
      <c r="D4" s="3" t="s">
        <v>252</v>
      </c>
      <c r="E4" s="3" t="s">
        <v>91</v>
      </c>
      <c r="F4" s="3" t="s">
        <v>92</v>
      </c>
      <c r="G4" s="3" t="s">
        <v>181</v>
      </c>
      <c r="H4" s="3" t="s">
        <v>252</v>
      </c>
    </row>
    <row r="5" spans="1:8" x14ac:dyDescent="0.4">
      <c r="A5" s="3"/>
      <c r="B5" s="3">
        <v>50</v>
      </c>
      <c r="C5" s="3" t="s">
        <v>4</v>
      </c>
      <c r="D5" s="3" t="s">
        <v>5</v>
      </c>
      <c r="E5" s="3" t="s">
        <v>253</v>
      </c>
      <c r="F5" s="3" t="s">
        <v>92</v>
      </c>
      <c r="G5" s="3" t="s">
        <v>182</v>
      </c>
      <c r="H5" s="3" t="s">
        <v>5</v>
      </c>
    </row>
    <row r="6" spans="1:8" x14ac:dyDescent="0.4">
      <c r="A6" s="3"/>
      <c r="B6" s="3">
        <v>4</v>
      </c>
      <c r="C6" s="3" t="s">
        <v>6</v>
      </c>
      <c r="D6" s="3" t="s">
        <v>254</v>
      </c>
      <c r="E6" s="3" t="s">
        <v>95</v>
      </c>
      <c r="F6" s="3" t="s">
        <v>96</v>
      </c>
      <c r="G6" s="3" t="s">
        <v>183</v>
      </c>
      <c r="H6" s="3" t="s">
        <v>254</v>
      </c>
    </row>
    <row r="7" spans="1:8" x14ac:dyDescent="0.4">
      <c r="A7" s="3"/>
      <c r="B7" s="3">
        <v>5</v>
      </c>
      <c r="C7" s="3" t="s">
        <v>7</v>
      </c>
      <c r="D7" s="3" t="s">
        <v>255</v>
      </c>
      <c r="E7" s="3" t="s">
        <v>97</v>
      </c>
      <c r="F7" s="3" t="s">
        <v>97</v>
      </c>
      <c r="G7" s="3" t="s">
        <v>184</v>
      </c>
      <c r="H7" s="3" t="s">
        <v>255</v>
      </c>
    </row>
    <row r="8" spans="1:8" x14ac:dyDescent="0.4">
      <c r="A8" s="3"/>
      <c r="B8" s="3">
        <v>6</v>
      </c>
      <c r="C8" s="3" t="s">
        <v>8</v>
      </c>
      <c r="D8" s="3" t="s">
        <v>256</v>
      </c>
      <c r="E8" s="3" t="s">
        <v>98</v>
      </c>
      <c r="F8" s="3" t="s">
        <v>99</v>
      </c>
      <c r="G8" s="3" t="s">
        <v>185</v>
      </c>
      <c r="H8" s="3" t="s">
        <v>256</v>
      </c>
    </row>
    <row r="9" spans="1:8" x14ac:dyDescent="0.4">
      <c r="A9" s="3"/>
      <c r="B9" s="3">
        <v>7</v>
      </c>
      <c r="C9" s="3" t="s">
        <v>9</v>
      </c>
      <c r="D9" s="3" t="s">
        <v>10</v>
      </c>
      <c r="E9" s="3" t="s">
        <v>101</v>
      </c>
      <c r="F9" s="3" t="s">
        <v>100</v>
      </c>
      <c r="G9" s="3" t="s">
        <v>186</v>
      </c>
      <c r="H9" s="3" t="s">
        <v>10</v>
      </c>
    </row>
    <row r="10" spans="1:8" x14ac:dyDescent="0.4">
      <c r="A10" s="3"/>
      <c r="B10" s="3">
        <v>8</v>
      </c>
      <c r="C10" s="3" t="s">
        <v>11</v>
      </c>
      <c r="D10" s="3" t="s">
        <v>12</v>
      </c>
      <c r="E10" s="3" t="s">
        <v>102</v>
      </c>
      <c r="F10" s="3" t="s">
        <v>103</v>
      </c>
      <c r="G10" s="3" t="s">
        <v>187</v>
      </c>
      <c r="H10" s="3" t="s">
        <v>12</v>
      </c>
    </row>
    <row r="11" spans="1:8" x14ac:dyDescent="0.4">
      <c r="A11" s="3"/>
      <c r="B11" s="3">
        <v>9</v>
      </c>
      <c r="C11" s="3" t="s">
        <v>13</v>
      </c>
      <c r="D11" s="3" t="s">
        <v>257</v>
      </c>
      <c r="E11" s="3" t="s">
        <v>258</v>
      </c>
      <c r="F11" s="3" t="s">
        <v>259</v>
      </c>
      <c r="G11" s="3" t="s">
        <v>188</v>
      </c>
      <c r="H11" s="3" t="s">
        <v>257</v>
      </c>
    </row>
    <row r="12" spans="1:8" x14ac:dyDescent="0.4">
      <c r="A12" s="3"/>
      <c r="B12" s="3">
        <v>10</v>
      </c>
      <c r="C12" s="3" t="s">
        <v>15</v>
      </c>
      <c r="D12" s="3" t="s">
        <v>16</v>
      </c>
      <c r="E12" s="3" t="s">
        <v>106</v>
      </c>
      <c r="F12" s="3" t="s">
        <v>100</v>
      </c>
      <c r="G12" s="3" t="s">
        <v>189</v>
      </c>
      <c r="H12" s="3" t="s">
        <v>16</v>
      </c>
    </row>
    <row r="13" spans="1:8" x14ac:dyDescent="0.4">
      <c r="A13" s="3"/>
      <c r="B13" s="3">
        <v>11</v>
      </c>
      <c r="C13" s="3" t="s">
        <v>17</v>
      </c>
      <c r="D13" s="3" t="s">
        <v>260</v>
      </c>
      <c r="E13" s="3" t="s">
        <v>107</v>
      </c>
      <c r="F13" s="3" t="s">
        <v>100</v>
      </c>
      <c r="G13" s="3" t="s">
        <v>190</v>
      </c>
      <c r="H13" s="3" t="s">
        <v>260</v>
      </c>
    </row>
    <row r="14" spans="1:8" x14ac:dyDescent="0.4">
      <c r="A14" s="3"/>
      <c r="B14" s="3">
        <v>12</v>
      </c>
      <c r="C14" s="3" t="s">
        <v>18</v>
      </c>
      <c r="D14" s="3" t="s">
        <v>19</v>
      </c>
      <c r="E14" s="3" t="s">
        <v>108</v>
      </c>
      <c r="F14" s="3" t="s">
        <v>261</v>
      </c>
      <c r="G14" s="3" t="s">
        <v>191</v>
      </c>
      <c r="H14" s="3" t="s">
        <v>19</v>
      </c>
    </row>
    <row r="15" spans="1:8" x14ac:dyDescent="0.4">
      <c r="A15" s="3"/>
      <c r="B15" s="3">
        <v>13</v>
      </c>
      <c r="C15" s="3" t="s">
        <v>20</v>
      </c>
      <c r="D15" s="3" t="s">
        <v>242</v>
      </c>
      <c r="E15" s="3" t="s">
        <v>110</v>
      </c>
      <c r="F15" s="3" t="s">
        <v>262</v>
      </c>
      <c r="G15" s="3" t="s">
        <v>192</v>
      </c>
      <c r="H15" s="3" t="s">
        <v>21</v>
      </c>
    </row>
    <row r="16" spans="1:8" x14ac:dyDescent="0.4">
      <c r="A16" s="3"/>
      <c r="B16" s="3">
        <v>14</v>
      </c>
      <c r="C16" s="3" t="s">
        <v>22</v>
      </c>
      <c r="D16" s="3" t="s">
        <v>241</v>
      </c>
      <c r="E16" s="3" t="s">
        <v>112</v>
      </c>
      <c r="F16" s="3" t="s">
        <v>262</v>
      </c>
      <c r="G16" s="3" t="s">
        <v>193</v>
      </c>
      <c r="H16" s="3" t="s">
        <v>23</v>
      </c>
    </row>
    <row r="17" spans="1:8" x14ac:dyDescent="0.4">
      <c r="A17" s="3"/>
      <c r="B17" s="3">
        <v>15</v>
      </c>
      <c r="C17" s="3" t="s">
        <v>24</v>
      </c>
      <c r="D17" s="3" t="s">
        <v>243</v>
      </c>
      <c r="E17" s="3" t="s">
        <v>113</v>
      </c>
      <c r="F17" s="3" t="s">
        <v>263</v>
      </c>
      <c r="G17" s="3" t="s">
        <v>194</v>
      </c>
      <c r="H17" s="3" t="s">
        <v>25</v>
      </c>
    </row>
    <row r="18" spans="1:8" x14ac:dyDescent="0.4">
      <c r="A18" s="3"/>
      <c r="B18" s="3">
        <v>16</v>
      </c>
      <c r="C18" s="3" t="s">
        <v>26</v>
      </c>
      <c r="D18" s="3" t="s">
        <v>240</v>
      </c>
      <c r="E18" s="3" t="s">
        <v>115</v>
      </c>
      <c r="F18" s="3" t="s">
        <v>263</v>
      </c>
      <c r="G18" s="3" t="s">
        <v>195</v>
      </c>
      <c r="H18" s="3" t="s">
        <v>27</v>
      </c>
    </row>
    <row r="19" spans="1:8" x14ac:dyDescent="0.4">
      <c r="A19" s="3"/>
      <c r="B19" s="3">
        <v>17</v>
      </c>
      <c r="C19" s="3" t="s">
        <v>28</v>
      </c>
      <c r="D19" s="3" t="s">
        <v>244</v>
      </c>
      <c r="E19" s="3" t="s">
        <v>264</v>
      </c>
      <c r="F19" s="3" t="s">
        <v>259</v>
      </c>
      <c r="G19" s="3" t="s">
        <v>219</v>
      </c>
      <c r="H19" s="3" t="s">
        <v>265</v>
      </c>
    </row>
    <row r="20" spans="1:8" x14ac:dyDescent="0.4">
      <c r="A20" s="3"/>
      <c r="B20" s="3">
        <v>18</v>
      </c>
      <c r="C20" s="3" t="s">
        <v>30</v>
      </c>
      <c r="D20" s="3" t="s">
        <v>31</v>
      </c>
      <c r="E20" s="3" t="s">
        <v>266</v>
      </c>
      <c r="F20" s="3" t="s">
        <v>117</v>
      </c>
      <c r="G20" s="3" t="s">
        <v>196</v>
      </c>
      <c r="H20" s="3" t="s">
        <v>31</v>
      </c>
    </row>
    <row r="21" spans="1:8" x14ac:dyDescent="0.4">
      <c r="A21" s="3"/>
      <c r="B21" s="3">
        <v>19</v>
      </c>
      <c r="C21" s="3" t="s">
        <v>32</v>
      </c>
      <c r="D21" s="3" t="s">
        <v>267</v>
      </c>
      <c r="E21" s="3" t="s">
        <v>268</v>
      </c>
      <c r="F21" s="3" t="s">
        <v>269</v>
      </c>
      <c r="G21" s="3" t="s">
        <v>197</v>
      </c>
      <c r="H21" s="3" t="s">
        <v>267</v>
      </c>
    </row>
    <row r="22" spans="1:8" x14ac:dyDescent="0.4">
      <c r="A22" s="3"/>
      <c r="B22" s="3">
        <v>20</v>
      </c>
      <c r="C22" s="3" t="s">
        <v>34</v>
      </c>
      <c r="D22" s="3" t="s">
        <v>35</v>
      </c>
      <c r="E22" s="3" t="s">
        <v>120</v>
      </c>
      <c r="F22" s="3" t="s">
        <v>121</v>
      </c>
      <c r="G22" s="3" t="s">
        <v>198</v>
      </c>
      <c r="H22" s="3" t="s">
        <v>35</v>
      </c>
    </row>
    <row r="23" spans="1:8" x14ac:dyDescent="0.4">
      <c r="A23" s="3"/>
      <c r="B23" s="3">
        <v>21</v>
      </c>
      <c r="C23" s="3" t="s">
        <v>270</v>
      </c>
      <c r="D23" s="3" t="s">
        <v>271</v>
      </c>
      <c r="E23" s="3" t="s">
        <v>272</v>
      </c>
      <c r="F23" s="3" t="s">
        <v>273</v>
      </c>
      <c r="G23" s="3" t="s">
        <v>199</v>
      </c>
      <c r="H23" s="3" t="s">
        <v>274</v>
      </c>
    </row>
    <row r="24" spans="1:8" x14ac:dyDescent="0.4">
      <c r="A24" s="3"/>
      <c r="B24" s="3">
        <v>22</v>
      </c>
      <c r="C24" s="3" t="s">
        <v>36</v>
      </c>
      <c r="D24" s="3" t="s">
        <v>274</v>
      </c>
      <c r="E24" s="3" t="s">
        <v>275</v>
      </c>
      <c r="F24" s="3" t="s">
        <v>122</v>
      </c>
      <c r="G24" s="3" t="s">
        <v>199</v>
      </c>
      <c r="H24" s="3" t="s">
        <v>274</v>
      </c>
    </row>
    <row r="25" spans="1:8" x14ac:dyDescent="0.4">
      <c r="A25" s="3"/>
      <c r="B25" s="3">
        <v>23</v>
      </c>
      <c r="C25" s="3" t="s">
        <v>37</v>
      </c>
      <c r="D25" s="3" t="s">
        <v>38</v>
      </c>
      <c r="E25" s="3" t="s">
        <v>124</v>
      </c>
      <c r="F25" s="3" t="s">
        <v>125</v>
      </c>
      <c r="G25" s="3" t="s">
        <v>200</v>
      </c>
      <c r="H25" s="3" t="s">
        <v>38</v>
      </c>
    </row>
    <row r="26" spans="1:8" x14ac:dyDescent="0.4">
      <c r="A26" s="3"/>
      <c r="B26" s="3">
        <v>24</v>
      </c>
      <c r="C26" s="3" t="s">
        <v>39</v>
      </c>
      <c r="D26" s="3" t="s">
        <v>276</v>
      </c>
      <c r="E26" s="3" t="s">
        <v>277</v>
      </c>
      <c r="F26" s="3" t="s">
        <v>278</v>
      </c>
      <c r="G26" s="3" t="s">
        <v>279</v>
      </c>
      <c r="H26" s="3" t="s">
        <v>276</v>
      </c>
    </row>
    <row r="27" spans="1:8" x14ac:dyDescent="0.4">
      <c r="A27" s="3"/>
      <c r="B27" s="3">
        <v>25</v>
      </c>
      <c r="C27" s="3" t="s">
        <v>41</v>
      </c>
      <c r="D27" s="3" t="s">
        <v>280</v>
      </c>
      <c r="E27" s="3" t="s">
        <v>277</v>
      </c>
      <c r="F27" s="3" t="s">
        <v>281</v>
      </c>
      <c r="G27" s="3" t="s">
        <v>222</v>
      </c>
      <c r="H27" s="3" t="s">
        <v>280</v>
      </c>
    </row>
    <row r="28" spans="1:8" x14ac:dyDescent="0.4">
      <c r="A28" s="3"/>
      <c r="B28" s="3">
        <v>26</v>
      </c>
      <c r="C28" s="3" t="s">
        <v>43</v>
      </c>
      <c r="D28" s="3" t="s">
        <v>282</v>
      </c>
      <c r="E28" s="3" t="s">
        <v>283</v>
      </c>
      <c r="F28" s="3" t="s">
        <v>130</v>
      </c>
      <c r="G28" s="3" t="s">
        <v>223</v>
      </c>
      <c r="H28" s="3" t="s">
        <v>282</v>
      </c>
    </row>
    <row r="29" spans="1:8" x14ac:dyDescent="0.4">
      <c r="A29" s="3"/>
      <c r="B29" s="3">
        <v>27</v>
      </c>
      <c r="C29" s="3" t="s">
        <v>45</v>
      </c>
      <c r="D29" s="3" t="s">
        <v>284</v>
      </c>
      <c r="E29" s="3" t="s">
        <v>131</v>
      </c>
      <c r="F29" s="3" t="s">
        <v>132</v>
      </c>
      <c r="G29" s="3" t="s">
        <v>224</v>
      </c>
      <c r="H29" s="3" t="s">
        <v>284</v>
      </c>
    </row>
    <row r="30" spans="1:8" x14ac:dyDescent="0.4">
      <c r="A30" s="3"/>
      <c r="B30" s="3">
        <v>28</v>
      </c>
      <c r="C30" s="3" t="s">
        <v>46</v>
      </c>
      <c r="D30" s="3" t="s">
        <v>285</v>
      </c>
      <c r="E30" s="3" t="s">
        <v>131</v>
      </c>
      <c r="F30" s="3" t="s">
        <v>132</v>
      </c>
      <c r="G30" s="3" t="s">
        <v>225</v>
      </c>
      <c r="H30" s="3" t="s">
        <v>285</v>
      </c>
    </row>
    <row r="31" spans="1:8" x14ac:dyDescent="0.4">
      <c r="A31" s="3"/>
      <c r="B31" s="3">
        <v>29</v>
      </c>
      <c r="C31" s="3" t="s">
        <v>47</v>
      </c>
      <c r="D31" s="3" t="s">
        <v>286</v>
      </c>
      <c r="E31" s="3" t="s">
        <v>133</v>
      </c>
      <c r="F31" s="3" t="s">
        <v>287</v>
      </c>
      <c r="G31" s="3" t="s">
        <v>226</v>
      </c>
      <c r="H31" s="3" t="s">
        <v>286</v>
      </c>
    </row>
    <row r="32" spans="1:8" x14ac:dyDescent="0.4">
      <c r="A32" s="3"/>
      <c r="B32" s="3">
        <v>30</v>
      </c>
      <c r="C32" s="3" t="s">
        <v>49</v>
      </c>
      <c r="D32" s="3" t="s">
        <v>50</v>
      </c>
      <c r="E32" s="3" t="s">
        <v>134</v>
      </c>
      <c r="F32" s="3" t="s">
        <v>288</v>
      </c>
      <c r="G32" s="3" t="s">
        <v>201</v>
      </c>
      <c r="H32" s="3" t="s">
        <v>50</v>
      </c>
    </row>
    <row r="33" spans="1:8" x14ac:dyDescent="0.4">
      <c r="A33" s="3"/>
      <c r="B33" s="3">
        <v>31</v>
      </c>
      <c r="C33" s="3" t="s">
        <v>51</v>
      </c>
      <c r="D33" s="3" t="s">
        <v>52</v>
      </c>
      <c r="E33" s="3" t="s">
        <v>136</v>
      </c>
      <c r="F33" s="3" t="s">
        <v>137</v>
      </c>
      <c r="G33" s="3" t="s">
        <v>218</v>
      </c>
      <c r="H33" s="3" t="s">
        <v>1</v>
      </c>
    </row>
    <row r="34" spans="1:8" x14ac:dyDescent="0.4">
      <c r="A34" s="3"/>
      <c r="B34" s="3">
        <v>32</v>
      </c>
      <c r="C34" s="3" t="s">
        <v>53</v>
      </c>
      <c r="D34" s="3" t="s">
        <v>54</v>
      </c>
      <c r="E34" s="3" t="s">
        <v>138</v>
      </c>
      <c r="F34" s="3" t="s">
        <v>90</v>
      </c>
      <c r="G34" s="3" t="s">
        <v>180</v>
      </c>
      <c r="H34" s="3" t="s">
        <v>251</v>
      </c>
    </row>
    <row r="35" spans="1:8" x14ac:dyDescent="0.4">
      <c r="A35" s="3"/>
      <c r="B35" s="3">
        <v>33</v>
      </c>
      <c r="C35" s="3" t="s">
        <v>55</v>
      </c>
      <c r="D35" s="3" t="s">
        <v>56</v>
      </c>
      <c r="E35" s="3" t="s">
        <v>139</v>
      </c>
      <c r="F35" s="3" t="s">
        <v>92</v>
      </c>
      <c r="G35" s="3" t="s">
        <v>181</v>
      </c>
      <c r="H35" s="3" t="s">
        <v>252</v>
      </c>
    </row>
    <row r="36" spans="1:8" x14ac:dyDescent="0.4">
      <c r="A36" s="3"/>
      <c r="B36" s="3">
        <v>34</v>
      </c>
      <c r="C36" s="3" t="s">
        <v>57</v>
      </c>
      <c r="D36" s="3" t="s">
        <v>58</v>
      </c>
      <c r="E36" s="3" t="s">
        <v>140</v>
      </c>
      <c r="F36" s="3" t="s">
        <v>96</v>
      </c>
      <c r="G36" s="3" t="s">
        <v>183</v>
      </c>
      <c r="H36" s="3" t="s">
        <v>254</v>
      </c>
    </row>
    <row r="37" spans="1:8" x14ac:dyDescent="0.4">
      <c r="A37" s="3"/>
      <c r="B37" s="3">
        <v>35</v>
      </c>
      <c r="C37" s="3" t="s">
        <v>59</v>
      </c>
      <c r="D37" s="3" t="s">
        <v>60</v>
      </c>
      <c r="E37" s="3" t="s">
        <v>141</v>
      </c>
      <c r="F37" s="3" t="s">
        <v>97</v>
      </c>
      <c r="G37" s="3" t="s">
        <v>184</v>
      </c>
      <c r="H37" s="3" t="s">
        <v>255</v>
      </c>
    </row>
    <row r="38" spans="1:8" x14ac:dyDescent="0.4">
      <c r="A38" s="3"/>
      <c r="B38" s="3">
        <v>36</v>
      </c>
      <c r="C38" s="3" t="s">
        <v>61</v>
      </c>
      <c r="D38" s="3" t="s">
        <v>62</v>
      </c>
      <c r="E38" s="3" t="s">
        <v>142</v>
      </c>
      <c r="F38" s="3" t="s">
        <v>289</v>
      </c>
      <c r="G38" s="3" t="s">
        <v>216</v>
      </c>
      <c r="H38" s="3" t="s">
        <v>208</v>
      </c>
    </row>
    <row r="39" spans="1:8" x14ac:dyDescent="0.4">
      <c r="A39" s="3"/>
      <c r="B39" s="3">
        <v>37</v>
      </c>
      <c r="C39" s="3" t="s">
        <v>63</v>
      </c>
      <c r="D39" s="3" t="s">
        <v>64</v>
      </c>
      <c r="E39" s="3" t="s">
        <v>144</v>
      </c>
      <c r="F39" s="3" t="s">
        <v>273</v>
      </c>
      <c r="G39" s="3" t="s">
        <v>199</v>
      </c>
      <c r="H39" s="3" t="s">
        <v>274</v>
      </c>
    </row>
    <row r="40" spans="1:8" x14ac:dyDescent="0.4">
      <c r="A40" s="3"/>
      <c r="B40" s="3">
        <v>38</v>
      </c>
      <c r="C40" s="3" t="s">
        <v>65</v>
      </c>
      <c r="D40" s="3" t="s">
        <v>66</v>
      </c>
      <c r="E40" s="3" t="s">
        <v>145</v>
      </c>
      <c r="F40" s="3" t="s">
        <v>122</v>
      </c>
      <c r="G40" s="3" t="s">
        <v>199</v>
      </c>
      <c r="H40" s="3" t="s">
        <v>274</v>
      </c>
    </row>
    <row r="41" spans="1:8" x14ac:dyDescent="0.4">
      <c r="A41" s="3"/>
      <c r="B41" s="3">
        <v>39</v>
      </c>
      <c r="C41" s="3" t="s">
        <v>67</v>
      </c>
      <c r="D41" s="3" t="s">
        <v>290</v>
      </c>
      <c r="E41" s="3" t="s">
        <v>291</v>
      </c>
      <c r="F41" s="3" t="s">
        <v>292</v>
      </c>
      <c r="G41" s="3" t="s">
        <v>202</v>
      </c>
      <c r="H41" s="3" t="s">
        <v>290</v>
      </c>
    </row>
    <row r="42" spans="1:8" x14ac:dyDescent="0.4">
      <c r="A42" s="3"/>
      <c r="B42" s="3">
        <v>40</v>
      </c>
      <c r="C42" s="3" t="s">
        <v>69</v>
      </c>
      <c r="D42" s="3" t="s">
        <v>293</v>
      </c>
      <c r="E42" s="3" t="s">
        <v>294</v>
      </c>
      <c r="F42" s="3" t="s">
        <v>292</v>
      </c>
      <c r="G42" s="3" t="s">
        <v>203</v>
      </c>
      <c r="H42" s="3" t="s">
        <v>293</v>
      </c>
    </row>
    <row r="43" spans="1:8" x14ac:dyDescent="0.4">
      <c r="A43" s="3"/>
      <c r="B43" s="3">
        <v>41</v>
      </c>
      <c r="C43" s="3" t="s">
        <v>71</v>
      </c>
      <c r="D43" s="3" t="s">
        <v>295</v>
      </c>
      <c r="E43" s="3" t="s">
        <v>296</v>
      </c>
      <c r="F43" s="3" t="s">
        <v>297</v>
      </c>
      <c r="G43" s="3" t="s">
        <v>204</v>
      </c>
      <c r="H43" s="3" t="s">
        <v>295</v>
      </c>
    </row>
    <row r="44" spans="1:8" x14ac:dyDescent="0.4">
      <c r="A44" s="3"/>
      <c r="B44" s="3">
        <v>42</v>
      </c>
      <c r="C44" s="3" t="s">
        <v>73</v>
      </c>
      <c r="D44" s="3" t="s">
        <v>298</v>
      </c>
      <c r="E44" s="3" t="s">
        <v>299</v>
      </c>
      <c r="F44" s="3" t="s">
        <v>300</v>
      </c>
      <c r="G44" s="3" t="s">
        <v>301</v>
      </c>
      <c r="H44" s="3" t="s">
        <v>298</v>
      </c>
    </row>
    <row r="45" spans="1:8" x14ac:dyDescent="0.4">
      <c r="A45" s="3"/>
      <c r="B45" s="3">
        <v>43</v>
      </c>
      <c r="C45" s="3" t="s">
        <v>76</v>
      </c>
      <c r="D45" s="3" t="s">
        <v>302</v>
      </c>
      <c r="E45" s="3" t="s">
        <v>303</v>
      </c>
      <c r="F45" s="3" t="s">
        <v>100</v>
      </c>
      <c r="G45" s="3" t="s">
        <v>205</v>
      </c>
      <c r="H45" s="3" t="s">
        <v>302</v>
      </c>
    </row>
    <row r="46" spans="1:8" x14ac:dyDescent="0.4">
      <c r="A46" s="3"/>
      <c r="B46" s="3">
        <v>44</v>
      </c>
      <c r="C46" s="3" t="s">
        <v>78</v>
      </c>
      <c r="D46" s="3" t="s">
        <v>304</v>
      </c>
      <c r="E46" s="3" t="s">
        <v>305</v>
      </c>
      <c r="F46" s="3" t="s">
        <v>306</v>
      </c>
      <c r="G46" s="3" t="s">
        <v>228</v>
      </c>
      <c r="H46" s="3" t="s">
        <v>304</v>
      </c>
    </row>
    <row r="47" spans="1:8" x14ac:dyDescent="0.4">
      <c r="A47" s="3"/>
      <c r="B47" s="3">
        <v>45</v>
      </c>
      <c r="C47" s="3" t="s">
        <v>80</v>
      </c>
      <c r="D47" s="3" t="s">
        <v>307</v>
      </c>
      <c r="E47" s="3" t="s">
        <v>308</v>
      </c>
      <c r="F47" s="3" t="s">
        <v>103</v>
      </c>
      <c r="G47" s="3" t="s">
        <v>206</v>
      </c>
      <c r="H47" s="3" t="s">
        <v>307</v>
      </c>
    </row>
    <row r="48" spans="1:8" x14ac:dyDescent="0.4">
      <c r="A48" s="3"/>
      <c r="B48" s="3">
        <v>46</v>
      </c>
      <c r="C48" s="3" t="s">
        <v>81</v>
      </c>
      <c r="D48" s="3" t="s">
        <v>309</v>
      </c>
      <c r="E48" s="3" t="s">
        <v>310</v>
      </c>
      <c r="F48" s="3" t="s">
        <v>259</v>
      </c>
      <c r="G48" s="3" t="s">
        <v>207</v>
      </c>
      <c r="H48" s="3" t="s">
        <v>309</v>
      </c>
    </row>
    <row r="49" spans="1:8" x14ac:dyDescent="0.4">
      <c r="A49" s="3"/>
      <c r="B49" s="3">
        <v>47</v>
      </c>
      <c r="C49" s="3" t="s">
        <v>83</v>
      </c>
      <c r="D49" s="3" t="s">
        <v>311</v>
      </c>
      <c r="E49" s="3" t="s">
        <v>159</v>
      </c>
      <c r="F49" s="3" t="s">
        <v>137</v>
      </c>
      <c r="G49" s="3" t="s">
        <v>218</v>
      </c>
      <c r="H49" s="3" t="s">
        <v>1</v>
      </c>
    </row>
    <row r="50" spans="1:8" x14ac:dyDescent="0.4">
      <c r="A50" s="3"/>
      <c r="B50" s="3">
        <v>48</v>
      </c>
      <c r="C50" s="3" t="s">
        <v>312</v>
      </c>
      <c r="D50" s="3" t="s">
        <v>177</v>
      </c>
      <c r="E50" s="3" t="s">
        <v>313</v>
      </c>
      <c r="F50" s="3" t="s">
        <v>117</v>
      </c>
      <c r="G50" s="3" t="s">
        <v>196</v>
      </c>
      <c r="H50" s="3" t="s">
        <v>31</v>
      </c>
    </row>
    <row r="51" spans="1:8" x14ac:dyDescent="0.4">
      <c r="A51" s="3"/>
      <c r="B51" s="3">
        <v>49</v>
      </c>
      <c r="C51" s="3" t="s">
        <v>314</v>
      </c>
      <c r="D51" s="3" t="s">
        <v>208</v>
      </c>
      <c r="E51" s="3" t="s">
        <v>315</v>
      </c>
      <c r="F51" s="3" t="s">
        <v>289</v>
      </c>
      <c r="G51" s="3" t="s">
        <v>216</v>
      </c>
      <c r="H51" s="3" t="s">
        <v>208</v>
      </c>
    </row>
    <row r="52" spans="1:8" x14ac:dyDescent="0.4">
      <c r="A52" s="3" t="s">
        <v>287</v>
      </c>
      <c r="B52" s="3"/>
      <c r="C52" s="3" t="s">
        <v>287</v>
      </c>
      <c r="D52" s="3" t="s">
        <v>287</v>
      </c>
      <c r="E52" s="3" t="s">
        <v>287</v>
      </c>
      <c r="F52" s="3" t="s">
        <v>287</v>
      </c>
      <c r="G52" s="3" t="s">
        <v>287</v>
      </c>
      <c r="H52" s="3" t="s">
        <v>287</v>
      </c>
    </row>
    <row r="53" spans="1:8" x14ac:dyDescent="0.4">
      <c r="A53" s="3" t="s">
        <v>287</v>
      </c>
      <c r="B53" s="3"/>
      <c r="C53" s="3" t="s">
        <v>287</v>
      </c>
      <c r="D53" s="3" t="s">
        <v>287</v>
      </c>
      <c r="E53" s="3" t="s">
        <v>287</v>
      </c>
      <c r="F53" s="3" t="s">
        <v>287</v>
      </c>
      <c r="G53" s="3" t="s">
        <v>287</v>
      </c>
      <c r="H53" s="3" t="s">
        <v>287</v>
      </c>
    </row>
    <row r="54" spans="1:8" x14ac:dyDescent="0.4">
      <c r="A54" s="3" t="s">
        <v>287</v>
      </c>
      <c r="B54" s="3"/>
      <c r="C54" s="3" t="s">
        <v>287</v>
      </c>
      <c r="D54" s="3" t="s">
        <v>287</v>
      </c>
      <c r="E54" s="3" t="s">
        <v>287</v>
      </c>
      <c r="F54" s="3" t="s">
        <v>287</v>
      </c>
      <c r="G54" s="3" t="s">
        <v>287</v>
      </c>
      <c r="H54" s="3" t="s">
        <v>287</v>
      </c>
    </row>
    <row r="55" spans="1:8" x14ac:dyDescent="0.4">
      <c r="A55" s="3" t="s">
        <v>287</v>
      </c>
      <c r="B55" s="3"/>
      <c r="C55" s="3" t="s">
        <v>287</v>
      </c>
      <c r="D55" s="3" t="s">
        <v>287</v>
      </c>
      <c r="E55" s="3" t="s">
        <v>287</v>
      </c>
      <c r="F55" s="3" t="s">
        <v>287</v>
      </c>
      <c r="G55" s="3" t="s">
        <v>287</v>
      </c>
      <c r="H55" s="3" t="s">
        <v>287</v>
      </c>
    </row>
    <row r="56" spans="1:8" x14ac:dyDescent="0.4">
      <c r="A56" s="3" t="s">
        <v>287</v>
      </c>
      <c r="B56" s="3"/>
      <c r="C56" s="3" t="s">
        <v>287</v>
      </c>
      <c r="D56" s="3" t="s">
        <v>287</v>
      </c>
      <c r="E56" s="3" t="s">
        <v>287</v>
      </c>
      <c r="F56" s="3" t="s">
        <v>287</v>
      </c>
      <c r="G56" s="3" t="s">
        <v>287</v>
      </c>
      <c r="H56" s="3" t="s">
        <v>287</v>
      </c>
    </row>
    <row r="57" spans="1:8" x14ac:dyDescent="0.4">
      <c r="A57" s="3" t="s">
        <v>287</v>
      </c>
      <c r="B57" s="3"/>
      <c r="C57" s="3" t="s">
        <v>287</v>
      </c>
      <c r="D57" s="3" t="s">
        <v>287</v>
      </c>
      <c r="E57" s="3" t="s">
        <v>287</v>
      </c>
      <c r="F57" s="3" t="s">
        <v>287</v>
      </c>
      <c r="G57" s="3" t="s">
        <v>287</v>
      </c>
      <c r="H57" s="3" t="s">
        <v>287</v>
      </c>
    </row>
    <row r="58" spans="1:8" x14ac:dyDescent="0.4">
      <c r="A58" s="3" t="s">
        <v>287</v>
      </c>
      <c r="B58" s="3"/>
      <c r="C58" s="3" t="s">
        <v>287</v>
      </c>
      <c r="D58" s="3" t="s">
        <v>287</v>
      </c>
      <c r="E58" s="3" t="s">
        <v>287</v>
      </c>
      <c r="F58" s="3" t="s">
        <v>287</v>
      </c>
      <c r="G58" s="3" t="s">
        <v>287</v>
      </c>
    </row>
    <row r="59" spans="1:8" x14ac:dyDescent="0.4">
      <c r="A59" s="3" t="s">
        <v>287</v>
      </c>
      <c r="B59" s="3"/>
      <c r="C59" s="3" t="s">
        <v>287</v>
      </c>
      <c r="D59" s="3" t="s">
        <v>287</v>
      </c>
      <c r="E59" s="3" t="s">
        <v>287</v>
      </c>
      <c r="F59" s="3" t="s">
        <v>287</v>
      </c>
      <c r="G59" s="3" t="s">
        <v>287</v>
      </c>
    </row>
    <row r="60" spans="1:8" x14ac:dyDescent="0.4">
      <c r="A60" s="3" t="s">
        <v>287</v>
      </c>
      <c r="B60" s="3"/>
      <c r="C60" s="3" t="s">
        <v>287</v>
      </c>
      <c r="D60" s="3" t="s">
        <v>287</v>
      </c>
      <c r="E60" s="3" t="s">
        <v>287</v>
      </c>
      <c r="F60" s="3" t="s">
        <v>287</v>
      </c>
      <c r="G60" s="3" t="s">
        <v>287</v>
      </c>
    </row>
    <row r="61" spans="1:8" x14ac:dyDescent="0.4">
      <c r="A61" s="3" t="s">
        <v>287</v>
      </c>
      <c r="B61" s="3"/>
      <c r="C61" s="3" t="s">
        <v>287</v>
      </c>
      <c r="D61" s="3" t="s">
        <v>287</v>
      </c>
      <c r="E61" s="3" t="s">
        <v>287</v>
      </c>
      <c r="F61" s="3" t="s">
        <v>287</v>
      </c>
      <c r="G61" s="3" t="s">
        <v>287</v>
      </c>
    </row>
    <row r="62" spans="1:8" x14ac:dyDescent="0.4">
      <c r="A62" s="3" t="s">
        <v>287</v>
      </c>
      <c r="B62" s="3"/>
      <c r="C62" s="3" t="s">
        <v>287</v>
      </c>
      <c r="D62" s="3" t="s">
        <v>287</v>
      </c>
      <c r="E62" s="3" t="s">
        <v>287</v>
      </c>
      <c r="F62" s="3" t="s">
        <v>287</v>
      </c>
      <c r="G62" s="3" t="s">
        <v>287</v>
      </c>
    </row>
    <row r="63" spans="1:8" x14ac:dyDescent="0.4">
      <c r="A63" s="3" t="s">
        <v>287</v>
      </c>
      <c r="B63" s="3"/>
      <c r="C63" s="3" t="s">
        <v>287</v>
      </c>
      <c r="D63" s="3" t="s">
        <v>287</v>
      </c>
      <c r="E63" s="3" t="s">
        <v>287</v>
      </c>
      <c r="F63" s="3" t="s">
        <v>287</v>
      </c>
      <c r="G63" s="3" t="s">
        <v>287</v>
      </c>
    </row>
    <row r="64" spans="1:8" x14ac:dyDescent="0.4">
      <c r="A64" s="3" t="s">
        <v>287</v>
      </c>
      <c r="B64" s="3"/>
      <c r="C64" s="3" t="s">
        <v>287</v>
      </c>
      <c r="D64" s="3" t="s">
        <v>287</v>
      </c>
      <c r="E64" s="3" t="s">
        <v>287</v>
      </c>
      <c r="F64" s="3" t="s">
        <v>287</v>
      </c>
      <c r="G64" s="3" t="s">
        <v>287</v>
      </c>
    </row>
    <row r="65" spans="1:7" x14ac:dyDescent="0.4">
      <c r="A65" s="3" t="s">
        <v>287</v>
      </c>
      <c r="B65" s="3"/>
      <c r="C65" s="3" t="s">
        <v>287</v>
      </c>
      <c r="D65" s="3" t="s">
        <v>287</v>
      </c>
      <c r="E65" s="3" t="s">
        <v>287</v>
      </c>
      <c r="F65" s="3" t="s">
        <v>287</v>
      </c>
      <c r="G65" s="3" t="s">
        <v>287</v>
      </c>
    </row>
    <row r="66" spans="1:7" x14ac:dyDescent="0.4">
      <c r="A66" s="3" t="s">
        <v>287</v>
      </c>
      <c r="B66" s="3"/>
      <c r="C66" s="3" t="s">
        <v>287</v>
      </c>
      <c r="D66" s="3" t="s">
        <v>287</v>
      </c>
      <c r="E66" s="3" t="s">
        <v>287</v>
      </c>
      <c r="F66" s="3" t="s">
        <v>287</v>
      </c>
      <c r="G66" s="3" t="s">
        <v>287</v>
      </c>
    </row>
    <row r="67" spans="1:7" x14ac:dyDescent="0.4">
      <c r="A67" s="3" t="s">
        <v>287</v>
      </c>
      <c r="B67" s="3"/>
      <c r="C67" s="3" t="s">
        <v>287</v>
      </c>
      <c r="D67" s="3" t="s">
        <v>287</v>
      </c>
      <c r="E67" s="3" t="s">
        <v>287</v>
      </c>
      <c r="F67" s="3" t="s">
        <v>287</v>
      </c>
      <c r="G67" s="3" t="s">
        <v>287</v>
      </c>
    </row>
    <row r="68" spans="1:7" x14ac:dyDescent="0.4">
      <c r="A68" s="3" t="s">
        <v>287</v>
      </c>
      <c r="B68" s="3"/>
      <c r="C68" s="3" t="s">
        <v>287</v>
      </c>
      <c r="D68" s="3" t="s">
        <v>287</v>
      </c>
      <c r="E68" s="3" t="s">
        <v>287</v>
      </c>
      <c r="F68" s="3" t="s">
        <v>287</v>
      </c>
      <c r="G68" s="3" t="s">
        <v>287</v>
      </c>
    </row>
    <row r="69" spans="1:7" x14ac:dyDescent="0.4">
      <c r="A69" s="3" t="s">
        <v>287</v>
      </c>
      <c r="B69" s="3"/>
      <c r="C69" s="3" t="s">
        <v>287</v>
      </c>
      <c r="D69" s="3" t="s">
        <v>287</v>
      </c>
      <c r="E69" s="3" t="s">
        <v>287</v>
      </c>
      <c r="F69" s="3" t="s">
        <v>287</v>
      </c>
      <c r="G69" s="3" t="s">
        <v>287</v>
      </c>
    </row>
    <row r="70" spans="1:7" x14ac:dyDescent="0.4">
      <c r="A70" s="3" t="s">
        <v>287</v>
      </c>
      <c r="B70" s="3"/>
      <c r="C70" s="3" t="s">
        <v>287</v>
      </c>
      <c r="D70" s="3" t="s">
        <v>287</v>
      </c>
      <c r="E70" s="3" t="s">
        <v>287</v>
      </c>
      <c r="F70" s="3" t="s">
        <v>287</v>
      </c>
      <c r="G70" s="3" t="s">
        <v>287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5A22-3823-4B5E-80CF-6941050C2724}">
  <sheetPr codeName="Sheet3"/>
  <dimension ref="A1:N80"/>
  <sheetViews>
    <sheetView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Q23" sqref="Q23"/>
    </sheetView>
  </sheetViews>
  <sheetFormatPr defaultRowHeight="12.75" x14ac:dyDescent="0.4"/>
  <cols>
    <col min="1" max="2" width="9" style="1"/>
    <col min="3" max="3" width="6.5" style="1" customWidth="1"/>
    <col min="4" max="4" width="28.75" style="1" customWidth="1"/>
    <col min="5" max="5" width="10.5" style="1" customWidth="1"/>
    <col min="6" max="6" width="16" style="1" customWidth="1"/>
    <col min="7" max="7" width="6.375" style="1" customWidth="1"/>
    <col min="8" max="8" width="27.75" style="1" customWidth="1"/>
    <col min="9" max="9" width="3.25" style="1" customWidth="1"/>
    <col min="10" max="10" width="8.625" style="1" customWidth="1"/>
    <col min="11" max="11" width="3" style="1" customWidth="1"/>
    <col min="12" max="12" width="5.875" style="1" customWidth="1"/>
    <col min="13" max="16384" width="9" style="1"/>
  </cols>
  <sheetData>
    <row r="1" spans="1:13" x14ac:dyDescent="0.4">
      <c r="A1" s="2" t="s">
        <v>160</v>
      </c>
      <c r="B1" s="2" t="s">
        <v>232</v>
      </c>
      <c r="C1" s="2" t="s">
        <v>213</v>
      </c>
      <c r="D1" s="2" t="s">
        <v>176</v>
      </c>
      <c r="E1" s="2" t="s">
        <v>85</v>
      </c>
      <c r="F1" s="2" t="s">
        <v>86</v>
      </c>
      <c r="G1" s="2" t="s">
        <v>174</v>
      </c>
      <c r="H1" s="2" t="s">
        <v>175</v>
      </c>
    </row>
    <row r="2" spans="1:13" x14ac:dyDescent="0.4">
      <c r="A2" s="3">
        <f t="shared" ref="A2:A33" si="0">COUNTIF($C:$C,C2)</f>
        <v>1</v>
      </c>
      <c r="B2" s="3">
        <v>1</v>
      </c>
      <c r="C2" s="3" t="s">
        <v>0</v>
      </c>
      <c r="D2" s="3" t="s">
        <v>1</v>
      </c>
      <c r="E2" s="3" t="s">
        <v>87</v>
      </c>
      <c r="F2" s="3" t="s">
        <v>88</v>
      </c>
      <c r="G2" s="3" t="s">
        <v>218</v>
      </c>
      <c r="H2" s="3" t="s">
        <v>1</v>
      </c>
      <c r="I2" s="3">
        <f t="shared" ref="I2:I33" si="1">COUNTIF($J:$J,J2)</f>
        <v>1</v>
      </c>
      <c r="J2" s="1" t="str">
        <f t="shared" ref="J2:J33" si="2">C2&amp;G2</f>
        <v>AECB10001</v>
      </c>
      <c r="L2" s="1" t="str">
        <f>C2</f>
        <v>AEC</v>
      </c>
      <c r="M2" s="1" t="s">
        <v>218</v>
      </c>
    </row>
    <row r="3" spans="1:13" x14ac:dyDescent="0.4">
      <c r="A3" s="3">
        <f t="shared" si="0"/>
        <v>1</v>
      </c>
      <c r="B3" s="3">
        <v>2</v>
      </c>
      <c r="C3" s="3" t="s">
        <v>2</v>
      </c>
      <c r="D3" s="3" t="s">
        <v>161</v>
      </c>
      <c r="E3" s="3" t="s">
        <v>89</v>
      </c>
      <c r="F3" s="3" t="s">
        <v>90</v>
      </c>
      <c r="G3" s="3" t="s">
        <v>180</v>
      </c>
      <c r="H3" s="3" t="s">
        <v>161</v>
      </c>
      <c r="I3" s="3">
        <f t="shared" si="1"/>
        <v>1</v>
      </c>
      <c r="J3" s="1" t="str">
        <f t="shared" si="2"/>
        <v>SORB10002</v>
      </c>
      <c r="L3" s="1" t="str">
        <f t="shared" ref="L3:L48" si="3">C3</f>
        <v>SOR</v>
      </c>
      <c r="M3" s="1" t="s">
        <v>218</v>
      </c>
    </row>
    <row r="4" spans="1:13" x14ac:dyDescent="0.4">
      <c r="A4" s="3">
        <f t="shared" si="0"/>
        <v>1</v>
      </c>
      <c r="B4" s="3">
        <v>3</v>
      </c>
      <c r="C4" s="3" t="s">
        <v>3</v>
      </c>
      <c r="D4" s="3" t="s">
        <v>162</v>
      </c>
      <c r="E4" s="3" t="s">
        <v>91</v>
      </c>
      <c r="F4" s="3" t="s">
        <v>92</v>
      </c>
      <c r="G4" s="3" t="s">
        <v>181</v>
      </c>
      <c r="H4" s="3" t="s">
        <v>162</v>
      </c>
      <c r="I4" s="3">
        <f t="shared" si="1"/>
        <v>1</v>
      </c>
      <c r="J4" s="1" t="str">
        <f t="shared" si="2"/>
        <v>BMCB10094</v>
      </c>
      <c r="L4" s="1" t="str">
        <f t="shared" si="3"/>
        <v>BMC</v>
      </c>
      <c r="M4" s="1" t="s">
        <v>218</v>
      </c>
    </row>
    <row r="5" spans="1:13" x14ac:dyDescent="0.4">
      <c r="A5" s="3">
        <f t="shared" si="0"/>
        <v>1</v>
      </c>
      <c r="B5" s="3">
        <v>4</v>
      </c>
      <c r="C5" s="3" t="s">
        <v>6</v>
      </c>
      <c r="D5" s="3" t="s">
        <v>163</v>
      </c>
      <c r="E5" s="3" t="s">
        <v>95</v>
      </c>
      <c r="F5" s="3" t="s">
        <v>96</v>
      </c>
      <c r="G5" s="3" t="s">
        <v>183</v>
      </c>
      <c r="H5" s="3" t="s">
        <v>163</v>
      </c>
      <c r="I5" s="3">
        <f t="shared" si="1"/>
        <v>1</v>
      </c>
      <c r="J5" s="1" t="str">
        <f t="shared" si="2"/>
        <v>PROB10058</v>
      </c>
      <c r="L5" s="1" t="str">
        <f t="shared" si="3"/>
        <v>PRO</v>
      </c>
      <c r="M5" s="1" t="s">
        <v>180</v>
      </c>
    </row>
    <row r="6" spans="1:13" x14ac:dyDescent="0.4">
      <c r="A6" s="3">
        <f t="shared" si="0"/>
        <v>1</v>
      </c>
      <c r="B6" s="3">
        <v>5</v>
      </c>
      <c r="C6" s="3" t="s">
        <v>7</v>
      </c>
      <c r="D6" s="3" t="s">
        <v>164</v>
      </c>
      <c r="E6" s="3" t="s">
        <v>97</v>
      </c>
      <c r="F6" s="3" t="s">
        <v>97</v>
      </c>
      <c r="G6" s="3" t="s">
        <v>184</v>
      </c>
      <c r="H6" s="3" t="s">
        <v>164</v>
      </c>
      <c r="I6" s="3">
        <f t="shared" si="1"/>
        <v>1</v>
      </c>
      <c r="J6" s="1" t="str">
        <f t="shared" si="2"/>
        <v>SHOB10122</v>
      </c>
      <c r="L6" s="1" t="str">
        <f t="shared" si="3"/>
        <v>SHO</v>
      </c>
      <c r="M6" s="1" t="s">
        <v>200</v>
      </c>
    </row>
    <row r="7" spans="1:13" x14ac:dyDescent="0.4">
      <c r="A7" s="3">
        <f t="shared" si="0"/>
        <v>1</v>
      </c>
      <c r="B7" s="3">
        <v>6</v>
      </c>
      <c r="C7" s="3" t="s">
        <v>8</v>
      </c>
      <c r="D7" s="3" t="s">
        <v>165</v>
      </c>
      <c r="E7" s="3" t="s">
        <v>98</v>
      </c>
      <c r="F7" s="3" t="s">
        <v>99</v>
      </c>
      <c r="G7" s="3" t="s">
        <v>185</v>
      </c>
      <c r="H7" s="3" t="s">
        <v>165</v>
      </c>
      <c r="I7" s="3">
        <f t="shared" si="1"/>
        <v>1</v>
      </c>
      <c r="J7" s="1" t="str">
        <f t="shared" si="2"/>
        <v>KIDB10011</v>
      </c>
      <c r="L7" s="1" t="str">
        <f t="shared" si="3"/>
        <v>KID</v>
      </c>
      <c r="M7" s="1" t="s">
        <v>185</v>
      </c>
    </row>
    <row r="8" spans="1:13" x14ac:dyDescent="0.4">
      <c r="A8" s="3">
        <f t="shared" si="0"/>
        <v>1</v>
      </c>
      <c r="B8" s="3">
        <v>7</v>
      </c>
      <c r="C8" s="3" t="s">
        <v>9</v>
      </c>
      <c r="D8" s="3" t="s">
        <v>10</v>
      </c>
      <c r="E8" s="3" t="s">
        <v>101</v>
      </c>
      <c r="F8" s="3" t="s">
        <v>100</v>
      </c>
      <c r="G8" s="3" t="s">
        <v>186</v>
      </c>
      <c r="H8" s="3" t="s">
        <v>10</v>
      </c>
      <c r="I8" s="3">
        <f t="shared" si="1"/>
        <v>1</v>
      </c>
      <c r="J8" s="1" t="str">
        <f t="shared" si="2"/>
        <v>GYEB10015</v>
      </c>
      <c r="L8" s="1" t="str">
        <f t="shared" si="3"/>
        <v>GYE</v>
      </c>
      <c r="M8" s="1" t="s">
        <v>189</v>
      </c>
    </row>
    <row r="9" spans="1:13" x14ac:dyDescent="0.4">
      <c r="A9" s="3">
        <f t="shared" si="0"/>
        <v>1</v>
      </c>
      <c r="B9" s="3">
        <v>8</v>
      </c>
      <c r="C9" s="3" t="s">
        <v>11</v>
      </c>
      <c r="D9" s="3" t="s">
        <v>12</v>
      </c>
      <c r="E9" s="3" t="s">
        <v>102</v>
      </c>
      <c r="F9" s="3" t="s">
        <v>103</v>
      </c>
      <c r="G9" s="3" t="s">
        <v>187</v>
      </c>
      <c r="H9" s="3" t="s">
        <v>12</v>
      </c>
      <c r="I9" s="3">
        <f t="shared" si="1"/>
        <v>1</v>
      </c>
      <c r="J9" s="1" t="str">
        <f t="shared" si="2"/>
        <v>GYJB10016</v>
      </c>
      <c r="L9" s="1" t="str">
        <f t="shared" si="3"/>
        <v>GYJ</v>
      </c>
      <c r="M9" s="1" t="s">
        <v>186</v>
      </c>
    </row>
    <row r="10" spans="1:13" x14ac:dyDescent="0.4">
      <c r="A10" s="3">
        <f t="shared" si="0"/>
        <v>1</v>
      </c>
      <c r="B10" s="3">
        <v>9</v>
      </c>
      <c r="C10" s="3" t="s">
        <v>13</v>
      </c>
      <c r="D10" s="3" t="s">
        <v>14</v>
      </c>
      <c r="E10" s="3" t="s">
        <v>104</v>
      </c>
      <c r="F10" s="3" t="s">
        <v>105</v>
      </c>
      <c r="G10" s="3" t="s">
        <v>188</v>
      </c>
      <c r="H10" s="3" t="s">
        <v>14</v>
      </c>
      <c r="I10" s="3">
        <f t="shared" si="1"/>
        <v>1</v>
      </c>
      <c r="J10" s="1" t="str">
        <f t="shared" si="2"/>
        <v>GYHB10153</v>
      </c>
      <c r="L10" s="1" t="str">
        <f t="shared" si="3"/>
        <v>GYH</v>
      </c>
      <c r="M10" s="1" t="s">
        <v>187</v>
      </c>
    </row>
    <row r="11" spans="1:13" x14ac:dyDescent="0.4">
      <c r="A11" s="3">
        <f t="shared" si="0"/>
        <v>1</v>
      </c>
      <c r="B11" s="3">
        <v>10</v>
      </c>
      <c r="C11" s="3" t="s">
        <v>15</v>
      </c>
      <c r="D11" s="3" t="s">
        <v>16</v>
      </c>
      <c r="E11" s="3" t="s">
        <v>106</v>
      </c>
      <c r="F11" s="3" t="s">
        <v>100</v>
      </c>
      <c r="G11" s="3" t="s">
        <v>189</v>
      </c>
      <c r="H11" s="3" t="s">
        <v>16</v>
      </c>
      <c r="I11" s="3">
        <f t="shared" si="1"/>
        <v>1</v>
      </c>
      <c r="J11" s="1" t="str">
        <f t="shared" si="2"/>
        <v>CLBB10014</v>
      </c>
      <c r="L11" s="1" t="str">
        <f t="shared" si="3"/>
        <v>CLB</v>
      </c>
      <c r="M11" s="1" t="s">
        <v>190</v>
      </c>
    </row>
    <row r="12" spans="1:13" x14ac:dyDescent="0.4">
      <c r="A12" s="3">
        <f t="shared" si="0"/>
        <v>1</v>
      </c>
      <c r="B12" s="3">
        <v>11</v>
      </c>
      <c r="C12" s="3" t="s">
        <v>17</v>
      </c>
      <c r="D12" s="3" t="s">
        <v>166</v>
      </c>
      <c r="E12" s="3" t="s">
        <v>107</v>
      </c>
      <c r="F12" s="3" t="s">
        <v>100</v>
      </c>
      <c r="G12" s="3" t="s">
        <v>190</v>
      </c>
      <c r="H12" s="3" t="s">
        <v>166</v>
      </c>
      <c r="I12" s="3">
        <f t="shared" si="1"/>
        <v>1</v>
      </c>
      <c r="J12" s="1" t="str">
        <f t="shared" si="2"/>
        <v>MTMB10017</v>
      </c>
      <c r="L12" s="1" t="str">
        <f t="shared" si="3"/>
        <v>MTM</v>
      </c>
      <c r="M12" s="1" t="s">
        <v>198</v>
      </c>
    </row>
    <row r="13" spans="1:13" x14ac:dyDescent="0.4">
      <c r="A13" s="3">
        <f t="shared" si="0"/>
        <v>1</v>
      </c>
      <c r="B13" s="3">
        <v>12</v>
      </c>
      <c r="C13" s="3" t="s">
        <v>18</v>
      </c>
      <c r="D13" s="3" t="s">
        <v>19</v>
      </c>
      <c r="E13" s="3" t="s">
        <v>108</v>
      </c>
      <c r="F13" s="3" t="s">
        <v>109</v>
      </c>
      <c r="G13" s="3" t="s">
        <v>191</v>
      </c>
      <c r="H13" s="3" t="s">
        <v>19</v>
      </c>
      <c r="I13" s="3">
        <f t="shared" si="1"/>
        <v>1</v>
      </c>
      <c r="J13" s="1" t="str">
        <f t="shared" si="2"/>
        <v>CHCB10028</v>
      </c>
      <c r="L13" s="1" t="str">
        <f t="shared" si="3"/>
        <v>CHC</v>
      </c>
      <c r="M13" s="1" t="s">
        <v>191</v>
      </c>
    </row>
    <row r="14" spans="1:13" x14ac:dyDescent="0.4">
      <c r="A14" s="3">
        <f t="shared" si="0"/>
        <v>1</v>
      </c>
      <c r="B14" s="3">
        <v>13</v>
      </c>
      <c r="C14" s="3" t="s">
        <v>20</v>
      </c>
      <c r="D14" s="3" t="s">
        <v>242</v>
      </c>
      <c r="E14" s="3" t="s">
        <v>110</v>
      </c>
      <c r="F14" s="3" t="s">
        <v>111</v>
      </c>
      <c r="G14" s="3" t="s">
        <v>192</v>
      </c>
      <c r="H14" s="3" t="s">
        <v>21</v>
      </c>
      <c r="I14" s="3">
        <f t="shared" si="1"/>
        <v>1</v>
      </c>
      <c r="J14" s="1" t="str">
        <f t="shared" si="2"/>
        <v>SDAB10082</v>
      </c>
      <c r="L14" s="1" t="str">
        <f t="shared" si="3"/>
        <v>SDA</v>
      </c>
      <c r="M14" s="1" t="s">
        <v>183</v>
      </c>
    </row>
    <row r="15" spans="1:13" x14ac:dyDescent="0.4">
      <c r="A15" s="3">
        <f t="shared" si="0"/>
        <v>1</v>
      </c>
      <c r="B15" s="3">
        <v>14</v>
      </c>
      <c r="C15" s="3" t="s">
        <v>22</v>
      </c>
      <c r="D15" s="3" t="s">
        <v>241</v>
      </c>
      <c r="E15" s="3" t="s">
        <v>112</v>
      </c>
      <c r="F15" s="3" t="s">
        <v>111</v>
      </c>
      <c r="G15" s="3" t="s">
        <v>193</v>
      </c>
      <c r="H15" s="3" t="s">
        <v>23</v>
      </c>
      <c r="I15" s="3">
        <f t="shared" si="1"/>
        <v>1</v>
      </c>
      <c r="J15" s="1" t="str">
        <f t="shared" si="2"/>
        <v>SDBB10080</v>
      </c>
      <c r="L15" s="1" t="str">
        <f t="shared" si="3"/>
        <v>SDB</v>
      </c>
      <c r="M15" s="1" t="s">
        <v>183</v>
      </c>
    </row>
    <row r="16" spans="1:13" x14ac:dyDescent="0.4">
      <c r="A16" s="3">
        <f t="shared" si="0"/>
        <v>1</v>
      </c>
      <c r="B16" s="3">
        <v>15</v>
      </c>
      <c r="C16" s="3" t="s">
        <v>24</v>
      </c>
      <c r="D16" s="3" t="s">
        <v>243</v>
      </c>
      <c r="E16" s="3" t="s">
        <v>113</v>
      </c>
      <c r="F16" s="3" t="s">
        <v>114</v>
      </c>
      <c r="G16" s="3" t="s">
        <v>194</v>
      </c>
      <c r="H16" s="3" t="s">
        <v>25</v>
      </c>
      <c r="I16" s="3">
        <f t="shared" si="1"/>
        <v>1</v>
      </c>
      <c r="J16" s="1" t="str">
        <f t="shared" si="2"/>
        <v>SDFB10083</v>
      </c>
      <c r="L16" s="1" t="str">
        <f t="shared" si="3"/>
        <v>SDF</v>
      </c>
      <c r="M16" s="1" t="s">
        <v>195</v>
      </c>
    </row>
    <row r="17" spans="1:13" x14ac:dyDescent="0.4">
      <c r="A17" s="3">
        <f t="shared" si="0"/>
        <v>1</v>
      </c>
      <c r="B17" s="3">
        <v>16</v>
      </c>
      <c r="C17" s="3" t="s">
        <v>26</v>
      </c>
      <c r="D17" s="3" t="s">
        <v>240</v>
      </c>
      <c r="E17" s="3" t="s">
        <v>115</v>
      </c>
      <c r="F17" s="3" t="s">
        <v>114</v>
      </c>
      <c r="G17" s="3" t="s">
        <v>195</v>
      </c>
      <c r="H17" s="3" t="s">
        <v>27</v>
      </c>
      <c r="I17" s="3">
        <f t="shared" si="1"/>
        <v>1</v>
      </c>
      <c r="J17" s="1" t="str">
        <f t="shared" si="2"/>
        <v>SDCB10071</v>
      </c>
      <c r="L17" s="1" t="str">
        <f t="shared" si="3"/>
        <v>SDC</v>
      </c>
      <c r="M17" s="1" t="s">
        <v>193</v>
      </c>
    </row>
    <row r="18" spans="1:13" x14ac:dyDescent="0.4">
      <c r="A18" s="3">
        <f t="shared" si="0"/>
        <v>1</v>
      </c>
      <c r="B18" s="3">
        <v>17</v>
      </c>
      <c r="C18" s="3" t="s">
        <v>28</v>
      </c>
      <c r="D18" s="3" t="s">
        <v>244</v>
      </c>
      <c r="E18" s="3" t="s">
        <v>116</v>
      </c>
      <c r="F18" s="3" t="s">
        <v>105</v>
      </c>
      <c r="G18" s="3" t="s">
        <v>219</v>
      </c>
      <c r="H18" s="3" t="s">
        <v>29</v>
      </c>
      <c r="I18" s="3">
        <f t="shared" si="1"/>
        <v>1</v>
      </c>
      <c r="J18" s="1" t="str">
        <f t="shared" si="2"/>
        <v>SDHB10154</v>
      </c>
      <c r="L18" s="1" t="str">
        <f t="shared" si="3"/>
        <v>SDH</v>
      </c>
      <c r="M18" s="1" t="s">
        <v>192</v>
      </c>
    </row>
    <row r="19" spans="1:13" x14ac:dyDescent="0.4">
      <c r="A19" s="3">
        <f t="shared" si="0"/>
        <v>1</v>
      </c>
      <c r="B19" s="3">
        <v>18</v>
      </c>
      <c r="C19" s="3" t="s">
        <v>30</v>
      </c>
      <c r="D19" s="3" t="s">
        <v>31</v>
      </c>
      <c r="E19" s="3" t="s">
        <v>178</v>
      </c>
      <c r="F19" s="3" t="s">
        <v>117</v>
      </c>
      <c r="G19" s="3" t="s">
        <v>196</v>
      </c>
      <c r="H19" s="3" t="s">
        <v>31</v>
      </c>
      <c r="I19" s="3">
        <f t="shared" si="1"/>
        <v>1</v>
      </c>
      <c r="J19" s="1" t="str">
        <f t="shared" si="2"/>
        <v>SUCB10157</v>
      </c>
      <c r="L19" s="1" t="str">
        <f t="shared" si="3"/>
        <v>SUC</v>
      </c>
      <c r="M19" s="1" t="s">
        <v>194</v>
      </c>
    </row>
    <row r="20" spans="1:13" x14ac:dyDescent="0.4">
      <c r="A20" s="3">
        <f t="shared" si="0"/>
        <v>1</v>
      </c>
      <c r="B20" s="3">
        <v>19</v>
      </c>
      <c r="C20" s="3" t="s">
        <v>32</v>
      </c>
      <c r="D20" s="3" t="s">
        <v>33</v>
      </c>
      <c r="E20" s="3" t="s">
        <v>118</v>
      </c>
      <c r="F20" s="3" t="s">
        <v>119</v>
      </c>
      <c r="G20" s="3" t="s">
        <v>197</v>
      </c>
      <c r="H20" s="3" t="s">
        <v>33</v>
      </c>
      <c r="I20" s="3">
        <f t="shared" si="1"/>
        <v>1</v>
      </c>
      <c r="J20" s="1" t="str">
        <f t="shared" si="2"/>
        <v>GOKB10155</v>
      </c>
      <c r="L20" s="1" t="str">
        <f t="shared" si="3"/>
        <v>GOK</v>
      </c>
      <c r="M20" s="1" t="s">
        <v>181</v>
      </c>
    </row>
    <row r="21" spans="1:13" x14ac:dyDescent="0.4">
      <c r="A21" s="3">
        <f t="shared" si="0"/>
        <v>1</v>
      </c>
      <c r="B21" s="3">
        <v>20</v>
      </c>
      <c r="C21" s="3" t="s">
        <v>34</v>
      </c>
      <c r="D21" s="3" t="s">
        <v>35</v>
      </c>
      <c r="E21" s="3" t="s">
        <v>120</v>
      </c>
      <c r="F21" s="3" t="s">
        <v>121</v>
      </c>
      <c r="G21" s="3" t="s">
        <v>198</v>
      </c>
      <c r="H21" s="3" t="s">
        <v>35</v>
      </c>
      <c r="I21" s="3">
        <f t="shared" si="1"/>
        <v>1</v>
      </c>
      <c r="J21" s="1" t="str">
        <f t="shared" si="2"/>
        <v>EDUB10027</v>
      </c>
      <c r="L21" s="1" t="str">
        <f t="shared" si="3"/>
        <v>EDU</v>
      </c>
      <c r="M21" s="1" t="s">
        <v>181</v>
      </c>
    </row>
    <row r="22" spans="1:13" x14ac:dyDescent="0.4">
      <c r="A22" s="3">
        <f t="shared" si="0"/>
        <v>1</v>
      </c>
      <c r="B22" s="3">
        <v>21</v>
      </c>
      <c r="C22" s="3" t="s">
        <v>214</v>
      </c>
      <c r="D22" s="13" t="s">
        <v>211</v>
      </c>
      <c r="E22" s="13" t="s">
        <v>209</v>
      </c>
      <c r="F22" s="13" t="s">
        <v>123</v>
      </c>
      <c r="G22" s="13" t="s">
        <v>199</v>
      </c>
      <c r="H22" s="13" t="s">
        <v>169</v>
      </c>
      <c r="I22" s="3">
        <f t="shared" si="1"/>
        <v>1</v>
      </c>
      <c r="J22" s="1" t="str">
        <f t="shared" si="2"/>
        <v>MNPB10135</v>
      </c>
      <c r="L22" s="1" t="str">
        <f t="shared" si="3"/>
        <v>MNP</v>
      </c>
      <c r="M22" s="1" t="s">
        <v>184</v>
      </c>
    </row>
    <row r="23" spans="1:13" x14ac:dyDescent="0.4">
      <c r="A23" s="3">
        <f t="shared" si="0"/>
        <v>1</v>
      </c>
      <c r="B23" s="3">
        <v>22</v>
      </c>
      <c r="C23" s="3" t="s">
        <v>36</v>
      </c>
      <c r="D23" s="13" t="s">
        <v>212</v>
      </c>
      <c r="E23" s="13" t="s">
        <v>210</v>
      </c>
      <c r="F23" s="13" t="s">
        <v>122</v>
      </c>
      <c r="G23" s="13" t="s">
        <v>199</v>
      </c>
      <c r="H23" s="13" t="s">
        <v>169</v>
      </c>
      <c r="I23" s="3">
        <f t="shared" si="1"/>
        <v>1</v>
      </c>
      <c r="J23" s="1" t="str">
        <f t="shared" si="2"/>
        <v>MNWB10135</v>
      </c>
      <c r="L23" s="1" t="str">
        <f t="shared" si="3"/>
        <v>MNW</v>
      </c>
      <c r="M23" s="1" t="s">
        <v>184</v>
      </c>
    </row>
    <row r="24" spans="1:13" x14ac:dyDescent="0.4">
      <c r="A24" s="3">
        <f t="shared" si="0"/>
        <v>1</v>
      </c>
      <c r="B24" s="3">
        <v>23</v>
      </c>
      <c r="C24" s="3" t="s">
        <v>37</v>
      </c>
      <c r="D24" s="3" t="s">
        <v>38</v>
      </c>
      <c r="E24" s="3" t="s">
        <v>124</v>
      </c>
      <c r="F24" s="3" t="s">
        <v>125</v>
      </c>
      <c r="G24" s="3" t="s">
        <v>200</v>
      </c>
      <c r="H24" s="3" t="s">
        <v>38</v>
      </c>
      <c r="I24" s="3">
        <f t="shared" si="1"/>
        <v>1</v>
      </c>
      <c r="J24" s="1" t="str">
        <f t="shared" si="2"/>
        <v>INTB10004</v>
      </c>
      <c r="L24" s="1" t="str">
        <f t="shared" si="3"/>
        <v>INT</v>
      </c>
      <c r="M24" s="1" t="s">
        <v>199</v>
      </c>
    </row>
    <row r="25" spans="1:13" x14ac:dyDescent="0.4">
      <c r="A25" s="3">
        <f t="shared" si="0"/>
        <v>1</v>
      </c>
      <c r="B25" s="3">
        <v>24</v>
      </c>
      <c r="C25" s="3" t="s">
        <v>39</v>
      </c>
      <c r="D25" s="3" t="s">
        <v>40</v>
      </c>
      <c r="E25" s="3" t="s">
        <v>126</v>
      </c>
      <c r="F25" s="3" t="s">
        <v>127</v>
      </c>
      <c r="G25" s="3" t="s">
        <v>221</v>
      </c>
      <c r="H25" s="3" t="s">
        <v>40</v>
      </c>
      <c r="I25" s="3">
        <f t="shared" si="1"/>
        <v>1</v>
      </c>
      <c r="J25" s="1" t="str">
        <f t="shared" si="2"/>
        <v>EKTB10300</v>
      </c>
      <c r="L25" s="1" t="str">
        <f t="shared" si="3"/>
        <v>EKT</v>
      </c>
      <c r="M25" s="1" t="s">
        <v>199</v>
      </c>
    </row>
    <row r="26" spans="1:13" x14ac:dyDescent="0.4">
      <c r="A26" s="3">
        <f t="shared" si="0"/>
        <v>1</v>
      </c>
      <c r="B26" s="3">
        <v>25</v>
      </c>
      <c r="C26" s="3" t="s">
        <v>41</v>
      </c>
      <c r="D26" s="3" t="s">
        <v>42</v>
      </c>
      <c r="E26" s="3" t="s">
        <v>126</v>
      </c>
      <c r="F26" s="3" t="s">
        <v>128</v>
      </c>
      <c r="G26" s="3" t="s">
        <v>222</v>
      </c>
      <c r="H26" s="3" t="s">
        <v>42</v>
      </c>
      <c r="I26" s="3">
        <f t="shared" si="1"/>
        <v>1</v>
      </c>
      <c r="J26" s="1" t="str">
        <f t="shared" si="2"/>
        <v>SEKB10301</v>
      </c>
      <c r="L26" s="1" t="str">
        <f t="shared" si="3"/>
        <v>SEK</v>
      </c>
      <c r="M26" s="1" t="s">
        <v>199</v>
      </c>
    </row>
    <row r="27" spans="1:13" x14ac:dyDescent="0.4">
      <c r="A27" s="3">
        <f t="shared" si="0"/>
        <v>1</v>
      </c>
      <c r="B27" s="3">
        <v>26</v>
      </c>
      <c r="C27" s="3" t="s">
        <v>43</v>
      </c>
      <c r="D27" s="3" t="s">
        <v>44</v>
      </c>
      <c r="E27" s="3" t="s">
        <v>129</v>
      </c>
      <c r="F27" s="3" t="s">
        <v>130</v>
      </c>
      <c r="G27" s="3" t="s">
        <v>223</v>
      </c>
      <c r="H27" s="3" t="s">
        <v>44</v>
      </c>
      <c r="I27" s="3">
        <f t="shared" si="1"/>
        <v>1</v>
      </c>
      <c r="J27" s="1" t="str">
        <f t="shared" si="2"/>
        <v>EKNB10302</v>
      </c>
      <c r="L27" s="1" t="str">
        <f t="shared" si="3"/>
        <v>EKN</v>
      </c>
      <c r="M27" s="1" t="s">
        <v>199</v>
      </c>
    </row>
    <row r="28" spans="1:13" x14ac:dyDescent="0.4">
      <c r="A28" s="3">
        <f t="shared" si="0"/>
        <v>1</v>
      </c>
      <c r="B28" s="3">
        <v>27</v>
      </c>
      <c r="C28" s="3" t="s">
        <v>45</v>
      </c>
      <c r="D28" s="3" t="s">
        <v>167</v>
      </c>
      <c r="E28" s="3" t="s">
        <v>131</v>
      </c>
      <c r="F28" s="3" t="s">
        <v>132</v>
      </c>
      <c r="G28" s="3" t="s">
        <v>224</v>
      </c>
      <c r="H28" s="3" t="s">
        <v>167</v>
      </c>
      <c r="I28" s="3">
        <f t="shared" si="1"/>
        <v>1</v>
      </c>
      <c r="J28" s="1" t="str">
        <f t="shared" si="2"/>
        <v>SKCB10303</v>
      </c>
      <c r="L28" s="1" t="str">
        <f t="shared" si="3"/>
        <v>SKC</v>
      </c>
      <c r="M28" s="1" t="s">
        <v>188</v>
      </c>
    </row>
    <row r="29" spans="1:13" x14ac:dyDescent="0.4">
      <c r="A29" s="3">
        <f t="shared" si="0"/>
        <v>1</v>
      </c>
      <c r="B29" s="3">
        <v>28</v>
      </c>
      <c r="C29" s="3" t="s">
        <v>46</v>
      </c>
      <c r="D29" s="3" t="s">
        <v>168</v>
      </c>
      <c r="E29" s="3" t="s">
        <v>131</v>
      </c>
      <c r="F29" s="3" t="s">
        <v>132</v>
      </c>
      <c r="G29" s="3" t="s">
        <v>225</v>
      </c>
      <c r="H29" s="3" t="s">
        <v>168</v>
      </c>
      <c r="I29" s="3">
        <f t="shared" si="1"/>
        <v>1</v>
      </c>
      <c r="J29" s="1" t="str">
        <f t="shared" si="2"/>
        <v>SKKB10304</v>
      </c>
      <c r="L29" s="1" t="str">
        <f t="shared" si="3"/>
        <v>SKK</v>
      </c>
      <c r="M29" s="1" t="s">
        <v>219</v>
      </c>
    </row>
    <row r="30" spans="1:13" x14ac:dyDescent="0.4">
      <c r="A30" s="3">
        <f t="shared" si="0"/>
        <v>1</v>
      </c>
      <c r="B30" s="3">
        <v>29</v>
      </c>
      <c r="C30" s="3" t="s">
        <v>47</v>
      </c>
      <c r="D30" s="3" t="s">
        <v>48</v>
      </c>
      <c r="E30" s="3" t="s">
        <v>133</v>
      </c>
      <c r="F30" s="3"/>
      <c r="G30" s="3" t="s">
        <v>226</v>
      </c>
      <c r="H30" s="3" t="s">
        <v>48</v>
      </c>
      <c r="I30" s="3">
        <f t="shared" si="1"/>
        <v>1</v>
      </c>
      <c r="J30" s="1" t="str">
        <f t="shared" si="2"/>
        <v>AZEB10305</v>
      </c>
      <c r="L30" s="1" t="str">
        <f t="shared" si="3"/>
        <v>AZE</v>
      </c>
      <c r="M30" s="1" t="s">
        <v>197</v>
      </c>
    </row>
    <row r="31" spans="1:13" x14ac:dyDescent="0.4">
      <c r="A31" s="3">
        <f t="shared" si="0"/>
        <v>1</v>
      </c>
      <c r="B31" s="3">
        <v>30</v>
      </c>
      <c r="C31" s="3" t="s">
        <v>49</v>
      </c>
      <c r="D31" s="3" t="s">
        <v>50</v>
      </c>
      <c r="E31" s="3" t="s">
        <v>134</v>
      </c>
      <c r="F31" s="3" t="s">
        <v>135</v>
      </c>
      <c r="G31" s="3" t="s">
        <v>201</v>
      </c>
      <c r="H31" s="3" t="s">
        <v>50</v>
      </c>
      <c r="I31" s="3">
        <f t="shared" si="1"/>
        <v>1</v>
      </c>
      <c r="J31" s="1" t="str">
        <f t="shared" si="2"/>
        <v>PULB10160</v>
      </c>
      <c r="L31" s="1" t="str">
        <f t="shared" si="3"/>
        <v>PUL</v>
      </c>
      <c r="M31" s="1" t="s">
        <v>196</v>
      </c>
    </row>
    <row r="32" spans="1:13" x14ac:dyDescent="0.4">
      <c r="A32" s="3">
        <f t="shared" si="0"/>
        <v>1</v>
      </c>
      <c r="B32" s="3">
        <v>31</v>
      </c>
      <c r="C32" s="3" t="s">
        <v>51</v>
      </c>
      <c r="D32" s="3" t="s">
        <v>52</v>
      </c>
      <c r="E32" s="3" t="s">
        <v>136</v>
      </c>
      <c r="F32" s="3" t="s">
        <v>137</v>
      </c>
      <c r="G32" s="3" t="s">
        <v>218</v>
      </c>
      <c r="H32" s="3" t="s">
        <v>1</v>
      </c>
      <c r="I32" s="3">
        <f t="shared" si="1"/>
        <v>1</v>
      </c>
      <c r="J32" s="1" t="str">
        <f t="shared" si="2"/>
        <v>AESB10001</v>
      </c>
      <c r="L32" s="1" t="str">
        <f t="shared" si="3"/>
        <v>AES</v>
      </c>
      <c r="M32" s="1" t="s">
        <v>196</v>
      </c>
    </row>
    <row r="33" spans="1:14" x14ac:dyDescent="0.4">
      <c r="A33" s="3">
        <f t="shared" si="0"/>
        <v>1</v>
      </c>
      <c r="B33" s="3">
        <v>32</v>
      </c>
      <c r="C33" s="3" t="s">
        <v>53</v>
      </c>
      <c r="D33" s="3" t="s">
        <v>54</v>
      </c>
      <c r="E33" s="3" t="s">
        <v>138</v>
      </c>
      <c r="F33" s="3" t="s">
        <v>90</v>
      </c>
      <c r="G33" s="3" t="s">
        <v>180</v>
      </c>
      <c r="H33" s="3" t="s">
        <v>161</v>
      </c>
      <c r="I33" s="3">
        <f t="shared" si="1"/>
        <v>1</v>
      </c>
      <c r="J33" s="1" t="str">
        <f t="shared" si="2"/>
        <v>SOSB10002</v>
      </c>
      <c r="L33" s="1" t="str">
        <f t="shared" si="3"/>
        <v>SOS</v>
      </c>
      <c r="M33" s="1" t="s">
        <v>201</v>
      </c>
    </row>
    <row r="34" spans="1:14" x14ac:dyDescent="0.4">
      <c r="A34" s="3">
        <f t="shared" ref="A34:A55" si="4">COUNTIF($C:$C,C34)</f>
        <v>1</v>
      </c>
      <c r="B34" s="3">
        <v>33</v>
      </c>
      <c r="C34" s="3" t="s">
        <v>55</v>
      </c>
      <c r="D34" s="3" t="s">
        <v>56</v>
      </c>
      <c r="E34" s="3" t="s">
        <v>139</v>
      </c>
      <c r="F34" s="3" t="s">
        <v>92</v>
      </c>
      <c r="G34" s="3" t="s">
        <v>181</v>
      </c>
      <c r="H34" s="3" t="s">
        <v>162</v>
      </c>
      <c r="I34" s="3">
        <f t="shared" ref="I34:I51" si="5">COUNTIF($J:$J,J34)</f>
        <v>1</v>
      </c>
      <c r="J34" s="1" t="str">
        <f t="shared" ref="J34:J51" si="6">C34&amp;G34</f>
        <v>BMSB10094</v>
      </c>
      <c r="L34" s="1" t="str">
        <f t="shared" si="3"/>
        <v>BMS</v>
      </c>
      <c r="M34" s="1" t="s">
        <v>182</v>
      </c>
    </row>
    <row r="35" spans="1:14" x14ac:dyDescent="0.4">
      <c r="A35" s="3">
        <f t="shared" si="4"/>
        <v>1</v>
      </c>
      <c r="B35" s="3">
        <v>34</v>
      </c>
      <c r="C35" s="3" t="s">
        <v>57</v>
      </c>
      <c r="D35" s="3" t="s">
        <v>58</v>
      </c>
      <c r="E35" s="3" t="s">
        <v>140</v>
      </c>
      <c r="F35" s="3" t="s">
        <v>96</v>
      </c>
      <c r="G35" s="3" t="s">
        <v>183</v>
      </c>
      <c r="H35" s="3" t="s">
        <v>163</v>
      </c>
      <c r="I35" s="3">
        <f t="shared" si="5"/>
        <v>1</v>
      </c>
      <c r="J35" s="1" t="str">
        <f t="shared" si="6"/>
        <v>PRSB10058</v>
      </c>
      <c r="L35" s="1" t="str">
        <f t="shared" si="3"/>
        <v>PRS</v>
      </c>
      <c r="M35" s="1" t="s">
        <v>204</v>
      </c>
    </row>
    <row r="36" spans="1:14" x14ac:dyDescent="0.4">
      <c r="A36" s="3">
        <f t="shared" si="4"/>
        <v>1</v>
      </c>
      <c r="B36" s="3">
        <v>35</v>
      </c>
      <c r="C36" s="3" t="s">
        <v>59</v>
      </c>
      <c r="D36" s="3" t="s">
        <v>60</v>
      </c>
      <c r="E36" s="3" t="s">
        <v>141</v>
      </c>
      <c r="F36" s="3" t="s">
        <v>97</v>
      </c>
      <c r="G36" s="3" t="s">
        <v>184</v>
      </c>
      <c r="H36" s="3" t="s">
        <v>164</v>
      </c>
      <c r="I36" s="3">
        <f t="shared" si="5"/>
        <v>1</v>
      </c>
      <c r="J36" s="1" t="str">
        <f t="shared" si="6"/>
        <v>SHSB10122</v>
      </c>
      <c r="L36" s="1" t="str">
        <f t="shared" si="3"/>
        <v>SHS</v>
      </c>
      <c r="M36" s="1" t="s">
        <v>205</v>
      </c>
    </row>
    <row r="37" spans="1:14" x14ac:dyDescent="0.4">
      <c r="A37" s="3">
        <f t="shared" si="4"/>
        <v>1</v>
      </c>
      <c r="B37" s="3">
        <v>36</v>
      </c>
      <c r="C37" s="3" t="s">
        <v>61</v>
      </c>
      <c r="D37" s="3" t="s">
        <v>62</v>
      </c>
      <c r="E37" s="3" t="s">
        <v>142</v>
      </c>
      <c r="F37" s="3" t="s">
        <v>143</v>
      </c>
      <c r="G37" s="3" t="s">
        <v>217</v>
      </c>
      <c r="H37" s="3" t="s">
        <v>239</v>
      </c>
      <c r="I37" s="3">
        <f t="shared" si="5"/>
        <v>1</v>
      </c>
      <c r="J37" s="1" t="str">
        <f t="shared" si="6"/>
        <v>AGSB10225</v>
      </c>
      <c r="L37" s="1" t="str">
        <f t="shared" si="3"/>
        <v>AGS</v>
      </c>
      <c r="M37" s="1" t="s">
        <v>206</v>
      </c>
    </row>
    <row r="38" spans="1:14" x14ac:dyDescent="0.4">
      <c r="A38" s="3">
        <f t="shared" si="4"/>
        <v>1</v>
      </c>
      <c r="B38" s="3">
        <v>37</v>
      </c>
      <c r="C38" s="13" t="s">
        <v>63</v>
      </c>
      <c r="D38" s="13" t="s">
        <v>64</v>
      </c>
      <c r="E38" s="13" t="s">
        <v>144</v>
      </c>
      <c r="F38" s="13" t="s">
        <v>123</v>
      </c>
      <c r="G38" s="13" t="s">
        <v>199</v>
      </c>
      <c r="H38" s="13" t="s">
        <v>169</v>
      </c>
      <c r="I38" s="3">
        <f t="shared" si="5"/>
        <v>1</v>
      </c>
      <c r="J38" s="1" t="str">
        <f t="shared" si="6"/>
        <v>MPSB10135</v>
      </c>
      <c r="L38" s="1" t="str">
        <f t="shared" si="3"/>
        <v>MPS</v>
      </c>
      <c r="M38" s="1" t="s">
        <v>202</v>
      </c>
    </row>
    <row r="39" spans="1:14" x14ac:dyDescent="0.4">
      <c r="A39" s="3">
        <f t="shared" si="4"/>
        <v>1</v>
      </c>
      <c r="B39" s="3">
        <v>38</v>
      </c>
      <c r="C39" s="13" t="s">
        <v>65</v>
      </c>
      <c r="D39" s="13" t="s">
        <v>66</v>
      </c>
      <c r="E39" s="13" t="s">
        <v>145</v>
      </c>
      <c r="F39" s="13" t="s">
        <v>122</v>
      </c>
      <c r="G39" s="13" t="s">
        <v>199</v>
      </c>
      <c r="H39" s="13" t="s">
        <v>169</v>
      </c>
      <c r="I39" s="3">
        <f t="shared" si="5"/>
        <v>1</v>
      </c>
      <c r="J39" s="1" t="str">
        <f t="shared" si="6"/>
        <v>MWSB10135</v>
      </c>
      <c r="L39" s="1" t="str">
        <f t="shared" si="3"/>
        <v>MWS</v>
      </c>
      <c r="M39" s="1" t="s">
        <v>203</v>
      </c>
    </row>
    <row r="40" spans="1:14" x14ac:dyDescent="0.4">
      <c r="A40" s="3">
        <f t="shared" si="4"/>
        <v>1</v>
      </c>
      <c r="B40" s="3">
        <v>39</v>
      </c>
      <c r="C40" s="3" t="s">
        <v>67</v>
      </c>
      <c r="D40" s="3" t="s">
        <v>68</v>
      </c>
      <c r="E40" s="3" t="s">
        <v>146</v>
      </c>
      <c r="F40" s="3" t="s">
        <v>147</v>
      </c>
      <c r="G40" s="3" t="s">
        <v>202</v>
      </c>
      <c r="H40" s="3" t="s">
        <v>68</v>
      </c>
      <c r="I40" s="3">
        <f t="shared" si="5"/>
        <v>1</v>
      </c>
      <c r="J40" s="1" t="str">
        <f t="shared" si="6"/>
        <v>FESB10170</v>
      </c>
      <c r="L40" s="1" t="str">
        <f t="shared" si="3"/>
        <v>FES</v>
      </c>
      <c r="M40" s="1" t="s">
        <v>207</v>
      </c>
    </row>
    <row r="41" spans="1:14" x14ac:dyDescent="0.4">
      <c r="A41" s="3">
        <f t="shared" si="4"/>
        <v>1</v>
      </c>
      <c r="B41" s="3">
        <v>40</v>
      </c>
      <c r="C41" s="3" t="s">
        <v>69</v>
      </c>
      <c r="D41" s="3" t="s">
        <v>70</v>
      </c>
      <c r="E41" s="3" t="s">
        <v>148</v>
      </c>
      <c r="F41" s="3" t="s">
        <v>147</v>
      </c>
      <c r="G41" s="3" t="s">
        <v>203</v>
      </c>
      <c r="H41" s="3" t="s">
        <v>70</v>
      </c>
      <c r="I41" s="3">
        <f t="shared" si="5"/>
        <v>1</v>
      </c>
      <c r="J41" s="1" t="str">
        <f t="shared" si="6"/>
        <v>SFEB10171</v>
      </c>
      <c r="L41" s="1" t="str">
        <f t="shared" si="3"/>
        <v>SFE</v>
      </c>
      <c r="M41" s="1" t="s">
        <v>220</v>
      </c>
    </row>
    <row r="42" spans="1:14" x14ac:dyDescent="0.4">
      <c r="A42" s="3">
        <f t="shared" si="4"/>
        <v>1</v>
      </c>
      <c r="B42" s="3">
        <v>41</v>
      </c>
      <c r="C42" s="3" t="s">
        <v>71</v>
      </c>
      <c r="D42" s="3" t="s">
        <v>72</v>
      </c>
      <c r="E42" s="3" t="s">
        <v>149</v>
      </c>
      <c r="F42" s="3" t="s">
        <v>150</v>
      </c>
      <c r="G42" s="3" t="s">
        <v>204</v>
      </c>
      <c r="H42" s="3" t="s">
        <v>72</v>
      </c>
      <c r="I42" s="3">
        <f t="shared" si="5"/>
        <v>1</v>
      </c>
      <c r="J42" s="1" t="str">
        <f t="shared" si="6"/>
        <v>SJJB10167</v>
      </c>
      <c r="L42" s="1" t="str">
        <f t="shared" si="3"/>
        <v>SJJ</v>
      </c>
      <c r="M42" s="1" t="s">
        <v>216</v>
      </c>
    </row>
    <row r="43" spans="1:14" x14ac:dyDescent="0.4">
      <c r="A43" s="3">
        <f t="shared" si="4"/>
        <v>1</v>
      </c>
      <c r="B43" s="3">
        <v>42</v>
      </c>
      <c r="C43" s="3" t="s">
        <v>73</v>
      </c>
      <c r="D43" s="3" t="s">
        <v>74</v>
      </c>
      <c r="E43" s="3" t="s">
        <v>151</v>
      </c>
      <c r="F43" s="3" t="s">
        <v>152</v>
      </c>
      <c r="G43" s="3" t="s">
        <v>227</v>
      </c>
      <c r="H43" s="3" t="s">
        <v>74</v>
      </c>
      <c r="I43" s="3">
        <f t="shared" si="5"/>
        <v>1</v>
      </c>
      <c r="J43" s="1" t="str">
        <f t="shared" si="6"/>
        <v>SFJB10306</v>
      </c>
      <c r="L43" s="1" t="str">
        <f t="shared" si="3"/>
        <v>SFJ</v>
      </c>
      <c r="M43" s="1" t="s">
        <v>228</v>
      </c>
      <c r="N43" s="3" t="s">
        <v>79</v>
      </c>
    </row>
    <row r="44" spans="1:14" x14ac:dyDescent="0.4">
      <c r="A44" s="3">
        <f t="shared" si="4"/>
        <v>1</v>
      </c>
      <c r="B44" s="3">
        <v>43</v>
      </c>
      <c r="C44" s="3" t="s">
        <v>76</v>
      </c>
      <c r="D44" s="3" t="s">
        <v>77</v>
      </c>
      <c r="E44" s="3" t="s">
        <v>153</v>
      </c>
      <c r="F44" s="3" t="s">
        <v>154</v>
      </c>
      <c r="G44" s="3" t="s">
        <v>205</v>
      </c>
      <c r="H44" s="3" t="s">
        <v>77</v>
      </c>
      <c r="I44" s="3">
        <f t="shared" si="5"/>
        <v>1</v>
      </c>
      <c r="J44" s="1" t="str">
        <f t="shared" si="6"/>
        <v>SELB10168</v>
      </c>
      <c r="L44" s="1" t="str">
        <f t="shared" si="3"/>
        <v>SEL</v>
      </c>
      <c r="M44" s="1" t="e">
        <v>#N/A</v>
      </c>
    </row>
    <row r="45" spans="1:14" x14ac:dyDescent="0.4">
      <c r="A45" s="3">
        <f t="shared" si="4"/>
        <v>1</v>
      </c>
      <c r="B45" s="3">
        <v>44</v>
      </c>
      <c r="C45" s="3" t="s">
        <v>78</v>
      </c>
      <c r="D45" s="3" t="s">
        <v>79</v>
      </c>
      <c r="E45" s="3" t="s">
        <v>155</v>
      </c>
      <c r="F45" s="3" t="s">
        <v>156</v>
      </c>
      <c r="G45" s="3" t="s">
        <v>229</v>
      </c>
      <c r="H45" s="3" t="s">
        <v>79</v>
      </c>
      <c r="I45" s="3">
        <f t="shared" si="5"/>
        <v>1</v>
      </c>
      <c r="J45" s="1" t="str">
        <f t="shared" si="6"/>
        <v>JSJB10307</v>
      </c>
      <c r="L45" s="1" t="str">
        <f t="shared" si="3"/>
        <v>JSJ</v>
      </c>
      <c r="M45" s="1" t="e">
        <v>#N/A</v>
      </c>
    </row>
    <row r="46" spans="1:14" x14ac:dyDescent="0.4">
      <c r="A46" s="3">
        <f t="shared" si="4"/>
        <v>1</v>
      </c>
      <c r="B46" s="3">
        <v>45</v>
      </c>
      <c r="C46" s="3" t="s">
        <v>80</v>
      </c>
      <c r="D46" s="3" t="s">
        <v>75</v>
      </c>
      <c r="E46" s="3" t="s">
        <v>157</v>
      </c>
      <c r="F46" s="3" t="s">
        <v>103</v>
      </c>
      <c r="G46" s="3" t="s">
        <v>206</v>
      </c>
      <c r="H46" s="3" t="s">
        <v>75</v>
      </c>
      <c r="I46" s="3">
        <f t="shared" si="5"/>
        <v>1</v>
      </c>
      <c r="J46" s="1" t="str">
        <f t="shared" si="6"/>
        <v>SJUB10169</v>
      </c>
      <c r="L46" s="1" t="str">
        <f t="shared" si="3"/>
        <v>SJU</v>
      </c>
      <c r="M46" s="1" t="e">
        <v>#N/A</v>
      </c>
    </row>
    <row r="47" spans="1:14" x14ac:dyDescent="0.4">
      <c r="A47" s="3">
        <f t="shared" si="4"/>
        <v>1</v>
      </c>
      <c r="B47" s="3">
        <v>46</v>
      </c>
      <c r="C47" s="3" t="s">
        <v>81</v>
      </c>
      <c r="D47" s="3" t="s">
        <v>82</v>
      </c>
      <c r="E47" s="3" t="s">
        <v>158</v>
      </c>
      <c r="F47" s="3" t="s">
        <v>105</v>
      </c>
      <c r="G47" s="3" t="s">
        <v>207</v>
      </c>
      <c r="H47" s="3" t="s">
        <v>82</v>
      </c>
      <c r="I47" s="3">
        <f t="shared" si="5"/>
        <v>1</v>
      </c>
      <c r="J47" s="1" t="str">
        <f t="shared" si="6"/>
        <v>SHIB10172</v>
      </c>
      <c r="L47" s="1" t="str">
        <f t="shared" si="3"/>
        <v>SHI</v>
      </c>
      <c r="M47" s="1" t="e">
        <v>#N/A</v>
      </c>
    </row>
    <row r="48" spans="1:14" x14ac:dyDescent="0.4">
      <c r="A48" s="3">
        <f t="shared" si="4"/>
        <v>1</v>
      </c>
      <c r="B48" s="3">
        <v>47</v>
      </c>
      <c r="C48" s="3" t="s">
        <v>83</v>
      </c>
      <c r="D48" s="3" t="s">
        <v>84</v>
      </c>
      <c r="E48" s="3" t="s">
        <v>159</v>
      </c>
      <c r="F48" s="3" t="s">
        <v>137</v>
      </c>
      <c r="G48" s="3" t="s">
        <v>218</v>
      </c>
      <c r="H48" s="3" t="s">
        <v>1</v>
      </c>
      <c r="I48" s="3">
        <f t="shared" si="5"/>
        <v>1</v>
      </c>
      <c r="J48" s="1" t="str">
        <f t="shared" si="6"/>
        <v>AEKB10001</v>
      </c>
      <c r="L48" s="1" t="str">
        <f t="shared" si="3"/>
        <v>AEK</v>
      </c>
      <c r="M48" s="1" t="e">
        <v>#N/A</v>
      </c>
    </row>
    <row r="49" spans="1:13" ht="12" customHeight="1" x14ac:dyDescent="0.4">
      <c r="A49" s="3">
        <f t="shared" si="4"/>
        <v>1</v>
      </c>
      <c r="B49" s="3">
        <v>48</v>
      </c>
      <c r="C49" s="1" t="s">
        <v>215</v>
      </c>
      <c r="D49" s="1" t="s">
        <v>177</v>
      </c>
      <c r="E49" s="3" t="s">
        <v>179</v>
      </c>
      <c r="F49" s="3" t="s">
        <v>117</v>
      </c>
      <c r="G49" s="3" t="s">
        <v>196</v>
      </c>
      <c r="H49" s="3" t="s">
        <v>31</v>
      </c>
      <c r="I49" s="3">
        <f t="shared" si="5"/>
        <v>1</v>
      </c>
      <c r="J49" s="1" t="str">
        <f t="shared" si="6"/>
        <v>SCCB10157</v>
      </c>
    </row>
    <row r="50" spans="1:13" ht="12" customHeight="1" x14ac:dyDescent="0.4">
      <c r="A50" s="3">
        <f t="shared" si="4"/>
        <v>1</v>
      </c>
      <c r="B50" s="3">
        <v>49</v>
      </c>
      <c r="C50" s="3" t="s">
        <v>231</v>
      </c>
      <c r="D50" s="3" t="s">
        <v>208</v>
      </c>
      <c r="E50" s="3" t="s">
        <v>230</v>
      </c>
      <c r="F50" s="3" t="s">
        <v>143</v>
      </c>
      <c r="G50" s="3" t="s">
        <v>217</v>
      </c>
      <c r="H50" s="3" t="s">
        <v>239</v>
      </c>
      <c r="I50" s="3">
        <f t="shared" si="5"/>
        <v>1</v>
      </c>
      <c r="J50" s="1" t="str">
        <f t="shared" si="6"/>
        <v>AGMB10225</v>
      </c>
    </row>
    <row r="51" spans="1:13" x14ac:dyDescent="0.4">
      <c r="A51" s="3">
        <f t="shared" si="4"/>
        <v>1</v>
      </c>
      <c r="B51" s="3">
        <v>50</v>
      </c>
      <c r="C51" s="3" t="s">
        <v>4</v>
      </c>
      <c r="D51" s="3" t="s">
        <v>5</v>
      </c>
      <c r="E51" s="3" t="s">
        <v>93</v>
      </c>
      <c r="F51" s="3" t="s">
        <v>94</v>
      </c>
      <c r="G51" s="3" t="s">
        <v>182</v>
      </c>
      <c r="H51" s="3" t="s">
        <v>5</v>
      </c>
      <c r="I51" s="3">
        <f t="shared" si="5"/>
        <v>1</v>
      </c>
      <c r="J51" s="1" t="str">
        <f t="shared" si="6"/>
        <v>NKZB10166</v>
      </c>
      <c r="L51" s="1" t="str">
        <f>C51</f>
        <v>NKZ</v>
      </c>
      <c r="M51" s="1" t="s">
        <v>180</v>
      </c>
    </row>
    <row r="52" spans="1:13" ht="12" customHeight="1" x14ac:dyDescent="0.4">
      <c r="A52" s="3">
        <f t="shared" si="4"/>
        <v>0</v>
      </c>
      <c r="B52" s="3">
        <v>51</v>
      </c>
      <c r="C52" s="3"/>
      <c r="D52" s="3"/>
      <c r="E52" s="3"/>
      <c r="F52" s="3"/>
      <c r="G52" s="3"/>
      <c r="H52" s="3"/>
    </row>
    <row r="53" spans="1:13" ht="12" customHeight="1" x14ac:dyDescent="0.4">
      <c r="A53" s="3">
        <f t="shared" si="4"/>
        <v>0</v>
      </c>
      <c r="B53" s="3">
        <v>52</v>
      </c>
      <c r="C53" s="3"/>
      <c r="D53" s="3"/>
      <c r="E53" s="3"/>
      <c r="F53" s="3"/>
      <c r="G53" s="3"/>
      <c r="H53" s="3"/>
    </row>
    <row r="54" spans="1:13" ht="12" customHeight="1" x14ac:dyDescent="0.4">
      <c r="A54" s="3">
        <f t="shared" si="4"/>
        <v>0</v>
      </c>
      <c r="B54" s="3">
        <v>53</v>
      </c>
      <c r="C54" s="3"/>
      <c r="D54" s="3"/>
      <c r="E54" s="3"/>
      <c r="F54" s="3"/>
      <c r="G54" s="3"/>
      <c r="H54" s="3"/>
    </row>
    <row r="55" spans="1:13" ht="12" customHeight="1" x14ac:dyDescent="0.4">
      <c r="A55" s="3">
        <f t="shared" si="4"/>
        <v>0</v>
      </c>
      <c r="B55" s="3">
        <v>54</v>
      </c>
      <c r="C55" s="3"/>
      <c r="D55" s="3"/>
      <c r="E55" s="3"/>
      <c r="F55" s="3"/>
      <c r="G55" s="3"/>
      <c r="H55" s="3"/>
    </row>
    <row r="56" spans="1:13" ht="12" customHeight="1" x14ac:dyDescent="0.4">
      <c r="A56" s="3"/>
      <c r="B56" s="3">
        <v>55</v>
      </c>
      <c r="C56" s="3"/>
      <c r="D56" s="3"/>
      <c r="E56" s="3"/>
      <c r="F56" s="3"/>
      <c r="G56" s="3"/>
      <c r="H56" s="3"/>
    </row>
    <row r="57" spans="1:13" ht="12" customHeight="1" x14ac:dyDescent="0.4">
      <c r="A57" s="3"/>
      <c r="B57" s="3"/>
      <c r="C57" s="3"/>
      <c r="D57" s="3"/>
      <c r="E57" s="3"/>
      <c r="F57" s="3"/>
      <c r="G57" s="3"/>
      <c r="H57" s="3"/>
    </row>
    <row r="58" spans="1:13" ht="12" customHeight="1" x14ac:dyDescent="0.4">
      <c r="A58" s="3"/>
      <c r="B58" s="3"/>
      <c r="C58" s="3"/>
      <c r="D58" s="3"/>
      <c r="E58" s="3"/>
      <c r="F58" s="3"/>
      <c r="G58" s="3"/>
      <c r="H58" s="3"/>
    </row>
    <row r="59" spans="1:13" ht="12" customHeight="1" x14ac:dyDescent="0.4">
      <c r="A59" s="3"/>
      <c r="B59" s="3"/>
      <c r="C59" s="3"/>
      <c r="D59" s="3"/>
      <c r="E59" s="3"/>
      <c r="F59" s="3"/>
      <c r="G59" s="3"/>
      <c r="H59" s="3"/>
    </row>
    <row r="60" spans="1:13" ht="12" customHeight="1" x14ac:dyDescent="0.4">
      <c r="A60" s="3"/>
      <c r="B60" s="3"/>
      <c r="C60" s="3"/>
      <c r="D60" s="3"/>
      <c r="E60" s="3"/>
      <c r="F60" s="3"/>
      <c r="G60" s="3"/>
      <c r="H60" s="3"/>
    </row>
    <row r="61" spans="1:13" ht="12" customHeight="1" x14ac:dyDescent="0.4">
      <c r="A61" s="3"/>
      <c r="B61" s="3"/>
      <c r="C61" s="3"/>
      <c r="D61" s="3"/>
      <c r="E61" s="3"/>
      <c r="F61" s="3"/>
      <c r="G61" s="3"/>
      <c r="H61" s="3"/>
    </row>
    <row r="62" spans="1:13" ht="12" customHeight="1" x14ac:dyDescent="0.4">
      <c r="A62" s="3"/>
      <c r="B62" s="3"/>
      <c r="C62" s="3"/>
      <c r="D62" s="3"/>
      <c r="E62" s="3"/>
      <c r="F62" s="3"/>
      <c r="G62" s="3"/>
      <c r="H62" s="3"/>
    </row>
    <row r="63" spans="1:13" ht="12" customHeight="1" x14ac:dyDescent="0.4">
      <c r="A63" s="3"/>
      <c r="B63" s="3"/>
      <c r="C63" s="3"/>
      <c r="D63" s="3"/>
      <c r="E63" s="3"/>
      <c r="F63" s="3"/>
      <c r="G63" s="3"/>
      <c r="H63" s="3"/>
    </row>
    <row r="64" spans="1:13" ht="12" customHeight="1" x14ac:dyDescent="0.4">
      <c r="A64" s="3"/>
      <c r="B64" s="3"/>
      <c r="C64" s="3"/>
      <c r="D64" s="3"/>
      <c r="E64" s="3"/>
      <c r="F64" s="3"/>
      <c r="G64" s="3"/>
      <c r="H64" s="3"/>
    </row>
    <row r="65" spans="1:8" ht="12" customHeight="1" x14ac:dyDescent="0.4">
      <c r="A65" s="3"/>
      <c r="B65" s="3"/>
      <c r="C65" s="3"/>
      <c r="D65" s="3"/>
      <c r="E65" s="3"/>
      <c r="F65" s="3"/>
      <c r="G65" s="3"/>
      <c r="H65" s="3"/>
    </row>
    <row r="66" spans="1:8" x14ac:dyDescent="0.4">
      <c r="A66" s="3"/>
      <c r="B66" s="3"/>
      <c r="C66" s="3"/>
      <c r="D66" s="3"/>
      <c r="E66" s="3"/>
      <c r="F66" s="3"/>
      <c r="G66" s="3"/>
      <c r="H66" s="3"/>
    </row>
    <row r="67" spans="1:8" x14ac:dyDescent="0.4">
      <c r="A67" s="3"/>
      <c r="B67" s="3"/>
      <c r="C67" s="3"/>
      <c r="D67" s="3"/>
      <c r="E67" s="3"/>
      <c r="F67" s="3"/>
      <c r="G67" s="3"/>
      <c r="H67" s="3"/>
    </row>
    <row r="68" spans="1:8" x14ac:dyDescent="0.4">
      <c r="B68" s="3"/>
    </row>
    <row r="69" spans="1:8" x14ac:dyDescent="0.4">
      <c r="B69" s="3"/>
    </row>
    <row r="70" spans="1:8" x14ac:dyDescent="0.4">
      <c r="B70" s="3"/>
    </row>
    <row r="71" spans="1:8" x14ac:dyDescent="0.4">
      <c r="B71" s="3"/>
    </row>
    <row r="72" spans="1:8" x14ac:dyDescent="0.4">
      <c r="B72" s="3"/>
    </row>
    <row r="73" spans="1:8" x14ac:dyDescent="0.4">
      <c r="B73" s="3"/>
    </row>
    <row r="74" spans="1:8" x14ac:dyDescent="0.4">
      <c r="B74" s="3"/>
    </row>
    <row r="75" spans="1:8" x14ac:dyDescent="0.4">
      <c r="B75" s="3"/>
    </row>
    <row r="76" spans="1:8" x14ac:dyDescent="0.4">
      <c r="B76" s="3"/>
    </row>
    <row r="77" spans="1:8" x14ac:dyDescent="0.4">
      <c r="B77" s="3"/>
    </row>
    <row r="78" spans="1:8" x14ac:dyDescent="0.4">
      <c r="B78" s="3"/>
    </row>
    <row r="79" spans="1:8" x14ac:dyDescent="0.4">
      <c r="B79" s="3"/>
    </row>
    <row r="80" spans="1:8" x14ac:dyDescent="0.4">
      <c r="B80" s="3"/>
    </row>
  </sheetData>
  <sortState xmlns:xlrd2="http://schemas.microsoft.com/office/spreadsheetml/2017/richdata2" ref="M2:M50">
    <sortCondition ref="M2:M50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①項目の説明</vt:lpstr>
      <vt:lpstr>T12_ブランド情報_CSV書き出し用DATAもと</vt:lpstr>
      <vt:lpstr>③ T12_ブランド情報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2024-11-08T07:30:11Z</dcterms:created>
  <dcterms:modified xsi:type="dcterms:W3CDTF">2025-05-07T01:44:11Z</dcterms:modified>
</cp:coreProperties>
</file>