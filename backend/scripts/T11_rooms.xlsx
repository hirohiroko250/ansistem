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社長へclean_output\2024_OZA_テーブル集\★テーブル集★説明付き_motoのやつ\"/>
    </mc:Choice>
  </mc:AlternateContent>
  <xr:revisionPtr revIDLastSave="0" documentId="13_ncr:1_{D857AAA6-7C36-4960-AC74-EA8F9B2F86E0}" xr6:coauthVersionLast="47" xr6:coauthVersionMax="47" xr10:uidLastSave="{00000000-0000-0000-0000-000000000000}"/>
  <bookViews>
    <workbookView xWindow="2430" yWindow="150" windowWidth="22635" windowHeight="15480" xr2:uid="{4D43071F-A3F0-4912-8B2C-FE44B3BC569C}"/>
  </bookViews>
  <sheets>
    <sheet name="②T11_ルーム情報_CSV書き出し用DATAもと" sheetId="2" r:id="rId1"/>
    <sheet name="③T11_ルーム情報" sheetId="1" r:id="rId2"/>
    <sheet name="きたん校舎20250923浪上部長情報" sheetId="3" r:id="rId3"/>
  </sheets>
  <externalReferences>
    <externalReference r:id="rId4"/>
    <externalReference r:id="rId5"/>
    <externalReference r:id="rId6"/>
    <externalReference r:id="rId7"/>
  </externalReferences>
  <definedNames>
    <definedName name="クラス情報">#REF!</definedName>
    <definedName name="クラス情報3">#REF!</definedName>
    <definedName name="クラス名">[1]クラスＩＤ11.4更新!$X$1:$Y$17</definedName>
    <definedName name="グレード">[1]クラスＩＤ11.4更新!$P$2:$Q$9</definedName>
    <definedName name="グレード2">[2]関数!$D$2:$E$8</definedName>
    <definedName name="これを印刷">#REF!</definedName>
    <definedName name="ブランド">[3]確認マシーン!$A$2:$A$14</definedName>
    <definedName name="ペアリレー">[2]関数!$C$2:$C$4</definedName>
    <definedName name="丸">[2]関数!$A$2</definedName>
    <definedName name="吉根校">#REF!</definedName>
    <definedName name="月">[2]関数!$F$15:$F$26</definedName>
    <definedName name="校舎">[1]クラスＩＤ11.4更新!$S$1:$U$52</definedName>
    <definedName name="校舎名">[2]関数!$CK$2:$CK$57</definedName>
    <definedName name="時給単価">[2]関数!$C$15</definedName>
    <definedName name="時給内容">[2]関数!$A$34:$A$42</definedName>
    <definedName name="授業時間">[2]関数!$E$2:$F$8</definedName>
    <definedName name="授業時間2">[2]関数!$CI$2:$CI$158</definedName>
    <definedName name="祝日リスト2022">'[4]21901  小学受験部 年少.年中 通期'!$M$2:$N$73</definedName>
    <definedName name="出欠">[2]関数!$A$2:$A$4</definedName>
    <definedName name="全部">#REF!</definedName>
    <definedName name="待機1">[2]関数!#REF!</definedName>
    <definedName name="待機2">[2]関数!#REF!</definedName>
    <definedName name="待機3">[2]関数!#REF!</definedName>
    <definedName name="待機4">[2]関数!#REF!</definedName>
    <definedName name="待機5">[2]関数!#REF!</definedName>
    <definedName name="待機6">[2]関数!#REF!</definedName>
    <definedName name="待機No">[2]関数!#REF!</definedName>
    <definedName name="日給">[2]関数!$J$2:$L$45</definedName>
    <definedName name="日給単価">[2]関数!$A$15:$A$19</definedName>
    <definedName name="日給内容">[2]関数!$A$27:$A$28</definedName>
    <definedName name="年度">[2]関数!$E$15:$E$24</definedName>
    <definedName name="尾張旭校">#REF!</definedName>
    <definedName name="曜日">[2]関数!$CM$2:$CM$8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8" i="2" l="1"/>
  <c r="B248" i="2"/>
  <c r="C248" i="2"/>
  <c r="D248" i="2"/>
  <c r="E248" i="2"/>
  <c r="F248" i="2"/>
  <c r="A249" i="2"/>
  <c r="B249" i="2"/>
  <c r="C249" i="2"/>
  <c r="D249" i="2"/>
  <c r="E249" i="2"/>
  <c r="F249" i="2"/>
  <c r="A250" i="2"/>
  <c r="B250" i="2"/>
  <c r="C250" i="2"/>
  <c r="D250" i="2"/>
  <c r="E250" i="2"/>
  <c r="F250" i="2"/>
  <c r="A251" i="2"/>
  <c r="B251" i="2"/>
  <c r="C251" i="2"/>
  <c r="D251" i="2"/>
  <c r="E251" i="2"/>
  <c r="F251" i="2"/>
  <c r="A252" i="2"/>
  <c r="B252" i="2"/>
  <c r="C252" i="2"/>
  <c r="D252" i="2"/>
  <c r="E252" i="2"/>
  <c r="F252" i="2"/>
  <c r="A253" i="2"/>
  <c r="B253" i="2"/>
  <c r="C253" i="2"/>
  <c r="D253" i="2"/>
  <c r="E253" i="2"/>
  <c r="F253" i="2"/>
  <c r="A254" i="2"/>
  <c r="B254" i="2"/>
  <c r="C254" i="2"/>
  <c r="D254" i="2"/>
  <c r="E254" i="2"/>
  <c r="F254" i="2"/>
  <c r="A255" i="2"/>
  <c r="B255" i="2"/>
  <c r="C255" i="2"/>
  <c r="D255" i="2"/>
  <c r="E255" i="2"/>
  <c r="F255" i="2"/>
  <c r="A256" i="2"/>
  <c r="B256" i="2"/>
  <c r="C256" i="2"/>
  <c r="D256" i="2"/>
  <c r="E256" i="2"/>
  <c r="F256" i="2"/>
  <c r="A257" i="2"/>
  <c r="B257" i="2"/>
  <c r="C257" i="2"/>
  <c r="D257" i="2"/>
  <c r="E257" i="2"/>
  <c r="F257" i="2"/>
  <c r="A258" i="2"/>
  <c r="B258" i="2"/>
  <c r="C258" i="2"/>
  <c r="D258" i="2"/>
  <c r="E258" i="2"/>
  <c r="F258" i="2"/>
  <c r="A259" i="2"/>
  <c r="B259" i="2"/>
  <c r="C259" i="2"/>
  <c r="D259" i="2"/>
  <c r="E259" i="2"/>
  <c r="F259" i="2"/>
  <c r="A260" i="2"/>
  <c r="B260" i="2"/>
  <c r="C260" i="2"/>
  <c r="D260" i="2"/>
  <c r="E260" i="2"/>
  <c r="F260" i="2"/>
  <c r="A223" i="2"/>
  <c r="B223" i="2"/>
  <c r="C223" i="2"/>
  <c r="D223" i="2"/>
  <c r="E223" i="2"/>
  <c r="F223" i="2"/>
  <c r="A224" i="2"/>
  <c r="B224" i="2"/>
  <c r="C224" i="2"/>
  <c r="D224" i="2"/>
  <c r="E224" i="2"/>
  <c r="F224" i="2"/>
  <c r="A225" i="2"/>
  <c r="B225" i="2"/>
  <c r="C225" i="2"/>
  <c r="D225" i="2"/>
  <c r="E225" i="2"/>
  <c r="F225" i="2"/>
  <c r="A226" i="2"/>
  <c r="B226" i="2"/>
  <c r="C226" i="2"/>
  <c r="D226" i="2"/>
  <c r="E226" i="2"/>
  <c r="F226" i="2"/>
  <c r="A227" i="2"/>
  <c r="B227" i="2"/>
  <c r="C227" i="2"/>
  <c r="D227" i="2"/>
  <c r="E227" i="2"/>
  <c r="F227" i="2"/>
  <c r="A228" i="2"/>
  <c r="B228" i="2"/>
  <c r="C228" i="2"/>
  <c r="D228" i="2"/>
  <c r="E228" i="2"/>
  <c r="F228" i="2"/>
  <c r="A229" i="2"/>
  <c r="B229" i="2"/>
  <c r="C229" i="2"/>
  <c r="D229" i="2"/>
  <c r="E229" i="2"/>
  <c r="F229" i="2"/>
  <c r="A230" i="2"/>
  <c r="B230" i="2"/>
  <c r="C230" i="2"/>
  <c r="D230" i="2"/>
  <c r="E230" i="2"/>
  <c r="F230" i="2"/>
  <c r="A231" i="2"/>
  <c r="B231" i="2"/>
  <c r="C231" i="2"/>
  <c r="D231" i="2"/>
  <c r="E231" i="2"/>
  <c r="F231" i="2"/>
  <c r="A232" i="2"/>
  <c r="B232" i="2"/>
  <c r="C232" i="2"/>
  <c r="D232" i="2"/>
  <c r="E232" i="2"/>
  <c r="F232" i="2"/>
  <c r="A233" i="2"/>
  <c r="B233" i="2"/>
  <c r="C233" i="2"/>
  <c r="D233" i="2"/>
  <c r="E233" i="2"/>
  <c r="F233" i="2"/>
  <c r="A234" i="2"/>
  <c r="B234" i="2"/>
  <c r="C234" i="2"/>
  <c r="D234" i="2"/>
  <c r="E234" i="2"/>
  <c r="F234" i="2"/>
  <c r="A235" i="2"/>
  <c r="B235" i="2"/>
  <c r="C235" i="2"/>
  <c r="D235" i="2"/>
  <c r="E235" i="2"/>
  <c r="F235" i="2"/>
  <c r="A236" i="2"/>
  <c r="B236" i="2"/>
  <c r="C236" i="2"/>
  <c r="D236" i="2"/>
  <c r="E236" i="2"/>
  <c r="F236" i="2"/>
  <c r="A237" i="2"/>
  <c r="B237" i="2"/>
  <c r="C237" i="2"/>
  <c r="D237" i="2"/>
  <c r="E237" i="2"/>
  <c r="F237" i="2"/>
  <c r="A238" i="2"/>
  <c r="B238" i="2"/>
  <c r="C238" i="2"/>
  <c r="D238" i="2"/>
  <c r="E238" i="2"/>
  <c r="F238" i="2"/>
  <c r="A239" i="2"/>
  <c r="B239" i="2"/>
  <c r="C239" i="2"/>
  <c r="D239" i="2"/>
  <c r="E239" i="2"/>
  <c r="F239" i="2"/>
  <c r="A240" i="2"/>
  <c r="B240" i="2"/>
  <c r="C240" i="2"/>
  <c r="D240" i="2"/>
  <c r="E240" i="2"/>
  <c r="F240" i="2"/>
  <c r="A241" i="2"/>
  <c r="B241" i="2"/>
  <c r="C241" i="2"/>
  <c r="D241" i="2"/>
  <c r="E241" i="2"/>
  <c r="F241" i="2"/>
  <c r="A242" i="2"/>
  <c r="B242" i="2"/>
  <c r="C242" i="2"/>
  <c r="D242" i="2"/>
  <c r="E242" i="2"/>
  <c r="F242" i="2"/>
  <c r="A243" i="2"/>
  <c r="B243" i="2"/>
  <c r="C243" i="2"/>
  <c r="D243" i="2"/>
  <c r="E243" i="2"/>
  <c r="F243" i="2"/>
  <c r="A244" i="2"/>
  <c r="B244" i="2"/>
  <c r="C244" i="2"/>
  <c r="D244" i="2"/>
  <c r="E244" i="2"/>
  <c r="F244" i="2"/>
  <c r="A245" i="2"/>
  <c r="B245" i="2"/>
  <c r="C245" i="2"/>
  <c r="D245" i="2"/>
  <c r="E245" i="2"/>
  <c r="F245" i="2"/>
  <c r="A246" i="2"/>
  <c r="B246" i="2"/>
  <c r="C246" i="2"/>
  <c r="D246" i="2"/>
  <c r="E246" i="2"/>
  <c r="F246" i="2"/>
  <c r="A247" i="2"/>
  <c r="B247" i="2"/>
  <c r="C247" i="2"/>
  <c r="D247" i="2"/>
  <c r="E247" i="2"/>
  <c r="F247" i="2"/>
  <c r="A205" i="2"/>
  <c r="B205" i="2"/>
  <c r="C205" i="2"/>
  <c r="D205" i="2"/>
  <c r="E205" i="2"/>
  <c r="F205" i="2"/>
  <c r="A206" i="2"/>
  <c r="B206" i="2"/>
  <c r="C206" i="2"/>
  <c r="D206" i="2"/>
  <c r="E206" i="2"/>
  <c r="F206" i="2"/>
  <c r="A207" i="2"/>
  <c r="B207" i="2"/>
  <c r="C207" i="2"/>
  <c r="D207" i="2"/>
  <c r="E207" i="2"/>
  <c r="F207" i="2"/>
  <c r="A208" i="2"/>
  <c r="B208" i="2"/>
  <c r="C208" i="2"/>
  <c r="D208" i="2"/>
  <c r="E208" i="2"/>
  <c r="F208" i="2"/>
  <c r="A209" i="2"/>
  <c r="B209" i="2"/>
  <c r="C209" i="2"/>
  <c r="D209" i="2"/>
  <c r="E209" i="2"/>
  <c r="F209" i="2"/>
  <c r="A210" i="2"/>
  <c r="B210" i="2"/>
  <c r="C210" i="2"/>
  <c r="D210" i="2"/>
  <c r="E210" i="2"/>
  <c r="F210" i="2"/>
  <c r="A211" i="2"/>
  <c r="B211" i="2"/>
  <c r="C211" i="2"/>
  <c r="D211" i="2"/>
  <c r="E211" i="2"/>
  <c r="F211" i="2"/>
  <c r="A212" i="2"/>
  <c r="B212" i="2"/>
  <c r="C212" i="2"/>
  <c r="D212" i="2"/>
  <c r="E212" i="2"/>
  <c r="F212" i="2"/>
  <c r="A213" i="2"/>
  <c r="B213" i="2"/>
  <c r="C213" i="2"/>
  <c r="D213" i="2"/>
  <c r="E213" i="2"/>
  <c r="F213" i="2"/>
  <c r="A214" i="2"/>
  <c r="B214" i="2"/>
  <c r="C214" i="2"/>
  <c r="D214" i="2"/>
  <c r="E214" i="2"/>
  <c r="F214" i="2"/>
  <c r="A215" i="2"/>
  <c r="B215" i="2"/>
  <c r="C215" i="2"/>
  <c r="D215" i="2"/>
  <c r="E215" i="2"/>
  <c r="F215" i="2"/>
  <c r="A216" i="2"/>
  <c r="B216" i="2"/>
  <c r="C216" i="2"/>
  <c r="D216" i="2"/>
  <c r="E216" i="2"/>
  <c r="F216" i="2"/>
  <c r="A217" i="2"/>
  <c r="B217" i="2"/>
  <c r="C217" i="2"/>
  <c r="D217" i="2"/>
  <c r="E217" i="2"/>
  <c r="F217" i="2"/>
  <c r="A218" i="2"/>
  <c r="B218" i="2"/>
  <c r="C218" i="2"/>
  <c r="D218" i="2"/>
  <c r="E218" i="2"/>
  <c r="F218" i="2"/>
  <c r="A219" i="2"/>
  <c r="B219" i="2"/>
  <c r="C219" i="2"/>
  <c r="D219" i="2"/>
  <c r="E219" i="2"/>
  <c r="F219" i="2"/>
  <c r="A220" i="2"/>
  <c r="B220" i="2"/>
  <c r="C220" i="2"/>
  <c r="D220" i="2"/>
  <c r="E220" i="2"/>
  <c r="F220" i="2"/>
  <c r="A221" i="2"/>
  <c r="B221" i="2"/>
  <c r="C221" i="2"/>
  <c r="D221" i="2"/>
  <c r="E221" i="2"/>
  <c r="F221" i="2"/>
  <c r="A222" i="2"/>
  <c r="B222" i="2"/>
  <c r="C222" i="2"/>
  <c r="D222" i="2"/>
  <c r="E222" i="2"/>
  <c r="F222" i="2"/>
  <c r="A2" i="2"/>
  <c r="B2" i="2"/>
  <c r="C2" i="2"/>
  <c r="D2" i="2"/>
  <c r="E2" i="2"/>
  <c r="F2" i="2"/>
  <c r="A3" i="2"/>
  <c r="B3" i="2"/>
  <c r="C3" i="2"/>
  <c r="D3" i="2"/>
  <c r="E3" i="2"/>
  <c r="F3" i="2"/>
  <c r="A4" i="2"/>
  <c r="B4" i="2"/>
  <c r="C4" i="2"/>
  <c r="D4" i="2"/>
  <c r="E4" i="2"/>
  <c r="F4" i="2"/>
  <c r="A5" i="2"/>
  <c r="B5" i="2"/>
  <c r="C5" i="2"/>
  <c r="D5" i="2"/>
  <c r="E5" i="2"/>
  <c r="F5" i="2"/>
  <c r="A6" i="2"/>
  <c r="B6" i="2"/>
  <c r="C6" i="2"/>
  <c r="D6" i="2"/>
  <c r="E6" i="2"/>
  <c r="F6" i="2"/>
  <c r="A7" i="2"/>
  <c r="B7" i="2"/>
  <c r="C7" i="2"/>
  <c r="D7" i="2"/>
  <c r="E7" i="2"/>
  <c r="F7" i="2"/>
  <c r="A8" i="2"/>
  <c r="B8" i="2"/>
  <c r="C8" i="2"/>
  <c r="D8" i="2"/>
  <c r="E8" i="2"/>
  <c r="F8" i="2"/>
  <c r="A9" i="2"/>
  <c r="B9" i="2"/>
  <c r="C9" i="2"/>
  <c r="D9" i="2"/>
  <c r="E9" i="2"/>
  <c r="F9" i="2"/>
  <c r="A10" i="2"/>
  <c r="B10" i="2"/>
  <c r="C10" i="2"/>
  <c r="D10" i="2"/>
  <c r="E10" i="2"/>
  <c r="F10" i="2"/>
  <c r="A11" i="2"/>
  <c r="B11" i="2"/>
  <c r="C11" i="2"/>
  <c r="D11" i="2"/>
  <c r="E11" i="2"/>
  <c r="F11" i="2"/>
  <c r="A12" i="2"/>
  <c r="B12" i="2"/>
  <c r="C12" i="2"/>
  <c r="D12" i="2"/>
  <c r="E12" i="2"/>
  <c r="F12" i="2"/>
  <c r="A13" i="2"/>
  <c r="B13" i="2"/>
  <c r="C13" i="2"/>
  <c r="D13" i="2"/>
  <c r="E13" i="2"/>
  <c r="F13" i="2"/>
  <c r="A14" i="2"/>
  <c r="B14" i="2"/>
  <c r="C14" i="2"/>
  <c r="D14" i="2"/>
  <c r="E14" i="2"/>
  <c r="F14" i="2"/>
  <c r="A15" i="2"/>
  <c r="B15" i="2"/>
  <c r="C15" i="2"/>
  <c r="D15" i="2"/>
  <c r="E15" i="2"/>
  <c r="F15" i="2"/>
  <c r="A16" i="2"/>
  <c r="B16" i="2"/>
  <c r="C16" i="2"/>
  <c r="D16" i="2"/>
  <c r="E16" i="2"/>
  <c r="F16" i="2"/>
  <c r="A17" i="2"/>
  <c r="B17" i="2"/>
  <c r="C17" i="2"/>
  <c r="D17" i="2"/>
  <c r="E17" i="2"/>
  <c r="F17" i="2"/>
  <c r="A18" i="2"/>
  <c r="B18" i="2"/>
  <c r="C18" i="2"/>
  <c r="D18" i="2"/>
  <c r="E18" i="2"/>
  <c r="F18" i="2"/>
  <c r="A19" i="2"/>
  <c r="B19" i="2"/>
  <c r="C19" i="2"/>
  <c r="D19" i="2"/>
  <c r="E19" i="2"/>
  <c r="F19" i="2"/>
  <c r="A20" i="2"/>
  <c r="B20" i="2"/>
  <c r="C20" i="2"/>
  <c r="D20" i="2"/>
  <c r="E20" i="2"/>
  <c r="F20" i="2"/>
  <c r="A21" i="2"/>
  <c r="B21" i="2"/>
  <c r="C21" i="2"/>
  <c r="D21" i="2"/>
  <c r="E21" i="2"/>
  <c r="F21" i="2"/>
  <c r="A22" i="2"/>
  <c r="B22" i="2"/>
  <c r="C22" i="2"/>
  <c r="D22" i="2"/>
  <c r="E22" i="2"/>
  <c r="F22" i="2"/>
  <c r="A23" i="2"/>
  <c r="B23" i="2"/>
  <c r="C23" i="2"/>
  <c r="D23" i="2"/>
  <c r="E23" i="2"/>
  <c r="F23" i="2"/>
  <c r="A24" i="2"/>
  <c r="B24" i="2"/>
  <c r="C24" i="2"/>
  <c r="D24" i="2"/>
  <c r="E24" i="2"/>
  <c r="F24" i="2"/>
  <c r="A25" i="2"/>
  <c r="B25" i="2"/>
  <c r="C25" i="2"/>
  <c r="D25" i="2"/>
  <c r="E25" i="2"/>
  <c r="F25" i="2"/>
  <c r="A26" i="2"/>
  <c r="B26" i="2"/>
  <c r="C26" i="2"/>
  <c r="D26" i="2"/>
  <c r="E26" i="2"/>
  <c r="F26" i="2"/>
  <c r="A27" i="2"/>
  <c r="B27" i="2"/>
  <c r="C27" i="2"/>
  <c r="D27" i="2"/>
  <c r="E27" i="2"/>
  <c r="F27" i="2"/>
  <c r="A28" i="2"/>
  <c r="B28" i="2"/>
  <c r="C28" i="2"/>
  <c r="D28" i="2"/>
  <c r="E28" i="2"/>
  <c r="F28" i="2"/>
  <c r="A29" i="2"/>
  <c r="B29" i="2"/>
  <c r="C29" i="2"/>
  <c r="D29" i="2"/>
  <c r="E29" i="2"/>
  <c r="F29" i="2"/>
  <c r="A30" i="2"/>
  <c r="B30" i="2"/>
  <c r="C30" i="2"/>
  <c r="D30" i="2"/>
  <c r="E30" i="2"/>
  <c r="F30" i="2"/>
  <c r="A31" i="2"/>
  <c r="B31" i="2"/>
  <c r="C31" i="2"/>
  <c r="D31" i="2"/>
  <c r="E31" i="2"/>
  <c r="F31" i="2"/>
  <c r="A32" i="2"/>
  <c r="B32" i="2"/>
  <c r="C32" i="2"/>
  <c r="D32" i="2"/>
  <c r="E32" i="2"/>
  <c r="F32" i="2"/>
  <c r="A33" i="2"/>
  <c r="B33" i="2"/>
  <c r="C33" i="2"/>
  <c r="D33" i="2"/>
  <c r="E33" i="2"/>
  <c r="F33" i="2"/>
  <c r="A34" i="2"/>
  <c r="B34" i="2"/>
  <c r="C34" i="2"/>
  <c r="D34" i="2"/>
  <c r="E34" i="2"/>
  <c r="F34" i="2"/>
  <c r="A35" i="2"/>
  <c r="B35" i="2"/>
  <c r="C35" i="2"/>
  <c r="D35" i="2"/>
  <c r="E35" i="2"/>
  <c r="F35" i="2"/>
  <c r="A36" i="2"/>
  <c r="B36" i="2"/>
  <c r="C36" i="2"/>
  <c r="D36" i="2"/>
  <c r="E36" i="2"/>
  <c r="F36" i="2"/>
  <c r="A37" i="2"/>
  <c r="B37" i="2"/>
  <c r="C37" i="2"/>
  <c r="D37" i="2"/>
  <c r="E37" i="2"/>
  <c r="F37" i="2"/>
  <c r="A38" i="2"/>
  <c r="B38" i="2"/>
  <c r="C38" i="2"/>
  <c r="D38" i="2"/>
  <c r="E38" i="2"/>
  <c r="F38" i="2"/>
  <c r="A39" i="2"/>
  <c r="B39" i="2"/>
  <c r="C39" i="2"/>
  <c r="D39" i="2"/>
  <c r="E39" i="2"/>
  <c r="F39" i="2"/>
  <c r="A40" i="2"/>
  <c r="B40" i="2"/>
  <c r="C40" i="2"/>
  <c r="D40" i="2"/>
  <c r="E40" i="2"/>
  <c r="F40" i="2"/>
  <c r="A41" i="2"/>
  <c r="B41" i="2"/>
  <c r="C41" i="2"/>
  <c r="D41" i="2"/>
  <c r="E41" i="2"/>
  <c r="F41" i="2"/>
  <c r="A42" i="2"/>
  <c r="B42" i="2"/>
  <c r="C42" i="2"/>
  <c r="D42" i="2"/>
  <c r="E42" i="2"/>
  <c r="F42" i="2"/>
  <c r="A43" i="2"/>
  <c r="B43" i="2"/>
  <c r="C43" i="2"/>
  <c r="D43" i="2"/>
  <c r="E43" i="2"/>
  <c r="F43" i="2"/>
  <c r="A44" i="2"/>
  <c r="B44" i="2"/>
  <c r="C44" i="2"/>
  <c r="D44" i="2"/>
  <c r="E44" i="2"/>
  <c r="F44" i="2"/>
  <c r="A45" i="2"/>
  <c r="B45" i="2"/>
  <c r="C45" i="2"/>
  <c r="D45" i="2"/>
  <c r="E45" i="2"/>
  <c r="F45" i="2"/>
  <c r="A46" i="2"/>
  <c r="B46" i="2"/>
  <c r="C46" i="2"/>
  <c r="D46" i="2"/>
  <c r="E46" i="2"/>
  <c r="F46" i="2"/>
  <c r="A47" i="2"/>
  <c r="B47" i="2"/>
  <c r="C47" i="2"/>
  <c r="D47" i="2"/>
  <c r="E47" i="2"/>
  <c r="F47" i="2"/>
  <c r="A48" i="2"/>
  <c r="B48" i="2"/>
  <c r="C48" i="2"/>
  <c r="D48" i="2"/>
  <c r="E48" i="2"/>
  <c r="F48" i="2"/>
  <c r="A49" i="2"/>
  <c r="B49" i="2"/>
  <c r="C49" i="2"/>
  <c r="D49" i="2"/>
  <c r="E49" i="2"/>
  <c r="F49" i="2"/>
  <c r="A50" i="2"/>
  <c r="B50" i="2"/>
  <c r="C50" i="2"/>
  <c r="D50" i="2"/>
  <c r="E50" i="2"/>
  <c r="F50" i="2"/>
  <c r="A51" i="2"/>
  <c r="B51" i="2"/>
  <c r="C51" i="2"/>
  <c r="D51" i="2"/>
  <c r="E51" i="2"/>
  <c r="F51" i="2"/>
  <c r="A52" i="2"/>
  <c r="B52" i="2"/>
  <c r="C52" i="2"/>
  <c r="D52" i="2"/>
  <c r="E52" i="2"/>
  <c r="F52" i="2"/>
  <c r="A53" i="2"/>
  <c r="B53" i="2"/>
  <c r="C53" i="2"/>
  <c r="D53" i="2"/>
  <c r="E53" i="2"/>
  <c r="F53" i="2"/>
  <c r="A54" i="2"/>
  <c r="B54" i="2"/>
  <c r="C54" i="2"/>
  <c r="D54" i="2"/>
  <c r="E54" i="2"/>
  <c r="F54" i="2"/>
  <c r="A55" i="2"/>
  <c r="B55" i="2"/>
  <c r="C55" i="2"/>
  <c r="D55" i="2"/>
  <c r="E55" i="2"/>
  <c r="F55" i="2"/>
  <c r="A56" i="2"/>
  <c r="B56" i="2"/>
  <c r="C56" i="2"/>
  <c r="D56" i="2"/>
  <c r="E56" i="2"/>
  <c r="F56" i="2"/>
  <c r="A57" i="2"/>
  <c r="B57" i="2"/>
  <c r="C57" i="2"/>
  <c r="D57" i="2"/>
  <c r="E57" i="2"/>
  <c r="F57" i="2"/>
  <c r="A58" i="2"/>
  <c r="B58" i="2"/>
  <c r="C58" i="2"/>
  <c r="D58" i="2"/>
  <c r="E58" i="2"/>
  <c r="F58" i="2"/>
  <c r="A59" i="2"/>
  <c r="B59" i="2"/>
  <c r="C59" i="2"/>
  <c r="D59" i="2"/>
  <c r="E59" i="2"/>
  <c r="F59" i="2"/>
  <c r="A60" i="2"/>
  <c r="B60" i="2"/>
  <c r="C60" i="2"/>
  <c r="D60" i="2"/>
  <c r="E60" i="2"/>
  <c r="F60" i="2"/>
  <c r="A61" i="2"/>
  <c r="B61" i="2"/>
  <c r="C61" i="2"/>
  <c r="D61" i="2"/>
  <c r="E61" i="2"/>
  <c r="F61" i="2"/>
  <c r="A62" i="2"/>
  <c r="B62" i="2"/>
  <c r="C62" i="2"/>
  <c r="D62" i="2"/>
  <c r="E62" i="2"/>
  <c r="F62" i="2"/>
  <c r="A63" i="2"/>
  <c r="B63" i="2"/>
  <c r="C63" i="2"/>
  <c r="D63" i="2"/>
  <c r="E63" i="2"/>
  <c r="F63" i="2"/>
  <c r="A64" i="2"/>
  <c r="B64" i="2"/>
  <c r="C64" i="2"/>
  <c r="D64" i="2"/>
  <c r="E64" i="2"/>
  <c r="F64" i="2"/>
  <c r="A65" i="2"/>
  <c r="B65" i="2"/>
  <c r="C65" i="2"/>
  <c r="D65" i="2"/>
  <c r="E65" i="2"/>
  <c r="F65" i="2"/>
  <c r="A66" i="2"/>
  <c r="B66" i="2"/>
  <c r="C66" i="2"/>
  <c r="D66" i="2"/>
  <c r="E66" i="2"/>
  <c r="F66" i="2"/>
  <c r="A67" i="2"/>
  <c r="B67" i="2"/>
  <c r="C67" i="2"/>
  <c r="D67" i="2"/>
  <c r="E67" i="2"/>
  <c r="F67" i="2"/>
  <c r="A68" i="2"/>
  <c r="B68" i="2"/>
  <c r="C68" i="2"/>
  <c r="D68" i="2"/>
  <c r="E68" i="2"/>
  <c r="F68" i="2"/>
  <c r="A69" i="2"/>
  <c r="B69" i="2"/>
  <c r="C69" i="2"/>
  <c r="D69" i="2"/>
  <c r="E69" i="2"/>
  <c r="F69" i="2"/>
  <c r="A70" i="2"/>
  <c r="B70" i="2"/>
  <c r="C70" i="2"/>
  <c r="D70" i="2"/>
  <c r="E70" i="2"/>
  <c r="F70" i="2"/>
  <c r="A71" i="2"/>
  <c r="B71" i="2"/>
  <c r="C71" i="2"/>
  <c r="D71" i="2"/>
  <c r="E71" i="2"/>
  <c r="F71" i="2"/>
  <c r="A72" i="2"/>
  <c r="B72" i="2"/>
  <c r="C72" i="2"/>
  <c r="D72" i="2"/>
  <c r="E72" i="2"/>
  <c r="F72" i="2"/>
  <c r="A73" i="2"/>
  <c r="B73" i="2"/>
  <c r="C73" i="2"/>
  <c r="D73" i="2"/>
  <c r="E73" i="2"/>
  <c r="F73" i="2"/>
  <c r="A74" i="2"/>
  <c r="B74" i="2"/>
  <c r="C74" i="2"/>
  <c r="D74" i="2"/>
  <c r="E74" i="2"/>
  <c r="F74" i="2"/>
  <c r="A75" i="2"/>
  <c r="B75" i="2"/>
  <c r="C75" i="2"/>
  <c r="D75" i="2"/>
  <c r="E75" i="2"/>
  <c r="F75" i="2"/>
  <c r="A76" i="2"/>
  <c r="B76" i="2"/>
  <c r="C76" i="2"/>
  <c r="D76" i="2"/>
  <c r="E76" i="2"/>
  <c r="F76" i="2"/>
  <c r="A77" i="2"/>
  <c r="B77" i="2"/>
  <c r="C77" i="2"/>
  <c r="D77" i="2"/>
  <c r="E77" i="2"/>
  <c r="F77" i="2"/>
  <c r="A78" i="2"/>
  <c r="B78" i="2"/>
  <c r="C78" i="2"/>
  <c r="D78" i="2"/>
  <c r="E78" i="2"/>
  <c r="F78" i="2"/>
  <c r="A79" i="2"/>
  <c r="B79" i="2"/>
  <c r="C79" i="2"/>
  <c r="D79" i="2"/>
  <c r="E79" i="2"/>
  <c r="F79" i="2"/>
  <c r="A80" i="2"/>
  <c r="B80" i="2"/>
  <c r="C80" i="2"/>
  <c r="D80" i="2"/>
  <c r="E80" i="2"/>
  <c r="F80" i="2"/>
  <c r="A81" i="2"/>
  <c r="B81" i="2"/>
  <c r="C81" i="2"/>
  <c r="D81" i="2"/>
  <c r="E81" i="2"/>
  <c r="F81" i="2"/>
  <c r="A82" i="2"/>
  <c r="B82" i="2"/>
  <c r="C82" i="2"/>
  <c r="D82" i="2"/>
  <c r="E82" i="2"/>
  <c r="F82" i="2"/>
  <c r="A83" i="2"/>
  <c r="B83" i="2"/>
  <c r="C83" i="2"/>
  <c r="D83" i="2"/>
  <c r="E83" i="2"/>
  <c r="F83" i="2"/>
  <c r="A84" i="2"/>
  <c r="B84" i="2"/>
  <c r="C84" i="2"/>
  <c r="D84" i="2"/>
  <c r="E84" i="2"/>
  <c r="F84" i="2"/>
  <c r="A85" i="2"/>
  <c r="B85" i="2"/>
  <c r="C85" i="2"/>
  <c r="D85" i="2"/>
  <c r="E85" i="2"/>
  <c r="F85" i="2"/>
  <c r="A86" i="2"/>
  <c r="B86" i="2"/>
  <c r="C86" i="2"/>
  <c r="D86" i="2"/>
  <c r="E86" i="2"/>
  <c r="F86" i="2"/>
  <c r="A87" i="2"/>
  <c r="B87" i="2"/>
  <c r="C87" i="2"/>
  <c r="D87" i="2"/>
  <c r="E87" i="2"/>
  <c r="F87" i="2"/>
  <c r="A88" i="2"/>
  <c r="B88" i="2"/>
  <c r="C88" i="2"/>
  <c r="D88" i="2"/>
  <c r="E88" i="2"/>
  <c r="F88" i="2"/>
  <c r="A89" i="2"/>
  <c r="B89" i="2"/>
  <c r="C89" i="2"/>
  <c r="D89" i="2"/>
  <c r="E89" i="2"/>
  <c r="F89" i="2"/>
  <c r="A90" i="2"/>
  <c r="B90" i="2"/>
  <c r="C90" i="2"/>
  <c r="D90" i="2"/>
  <c r="E90" i="2"/>
  <c r="F90" i="2"/>
  <c r="A91" i="2"/>
  <c r="B91" i="2"/>
  <c r="C91" i="2"/>
  <c r="D91" i="2"/>
  <c r="E91" i="2"/>
  <c r="F91" i="2"/>
  <c r="A92" i="2"/>
  <c r="B92" i="2"/>
  <c r="C92" i="2"/>
  <c r="D92" i="2"/>
  <c r="E92" i="2"/>
  <c r="F92" i="2"/>
  <c r="A93" i="2"/>
  <c r="B93" i="2"/>
  <c r="C93" i="2"/>
  <c r="D93" i="2"/>
  <c r="E93" i="2"/>
  <c r="F93" i="2"/>
  <c r="A94" i="2"/>
  <c r="B94" i="2"/>
  <c r="C94" i="2"/>
  <c r="D94" i="2"/>
  <c r="E94" i="2"/>
  <c r="F94" i="2"/>
  <c r="A95" i="2"/>
  <c r="B95" i="2"/>
  <c r="C95" i="2"/>
  <c r="D95" i="2"/>
  <c r="E95" i="2"/>
  <c r="F95" i="2"/>
  <c r="A96" i="2"/>
  <c r="B96" i="2"/>
  <c r="C96" i="2"/>
  <c r="D96" i="2"/>
  <c r="E96" i="2"/>
  <c r="F96" i="2"/>
  <c r="A97" i="2"/>
  <c r="B97" i="2"/>
  <c r="C97" i="2"/>
  <c r="D97" i="2"/>
  <c r="E97" i="2"/>
  <c r="F97" i="2"/>
  <c r="A98" i="2"/>
  <c r="B98" i="2"/>
  <c r="C98" i="2"/>
  <c r="D98" i="2"/>
  <c r="E98" i="2"/>
  <c r="F98" i="2"/>
  <c r="A99" i="2"/>
  <c r="B99" i="2"/>
  <c r="C99" i="2"/>
  <c r="D99" i="2"/>
  <c r="E99" i="2"/>
  <c r="F99" i="2"/>
  <c r="A100" i="2"/>
  <c r="B100" i="2"/>
  <c r="C100" i="2"/>
  <c r="D100" i="2"/>
  <c r="E100" i="2"/>
  <c r="F100" i="2"/>
  <c r="A101" i="2"/>
  <c r="B101" i="2"/>
  <c r="C101" i="2"/>
  <c r="D101" i="2"/>
  <c r="E101" i="2"/>
  <c r="F101" i="2"/>
  <c r="A102" i="2"/>
  <c r="B102" i="2"/>
  <c r="C102" i="2"/>
  <c r="D102" i="2"/>
  <c r="E102" i="2"/>
  <c r="F102" i="2"/>
  <c r="A103" i="2"/>
  <c r="B103" i="2"/>
  <c r="C103" i="2"/>
  <c r="D103" i="2"/>
  <c r="E103" i="2"/>
  <c r="F103" i="2"/>
  <c r="A104" i="2"/>
  <c r="B104" i="2"/>
  <c r="C104" i="2"/>
  <c r="D104" i="2"/>
  <c r="E104" i="2"/>
  <c r="F104" i="2"/>
  <c r="A105" i="2"/>
  <c r="B105" i="2"/>
  <c r="C105" i="2"/>
  <c r="D105" i="2"/>
  <c r="E105" i="2"/>
  <c r="F105" i="2"/>
  <c r="A106" i="2"/>
  <c r="B106" i="2"/>
  <c r="C106" i="2"/>
  <c r="D106" i="2"/>
  <c r="E106" i="2"/>
  <c r="F106" i="2"/>
  <c r="A107" i="2"/>
  <c r="B107" i="2"/>
  <c r="C107" i="2"/>
  <c r="D107" i="2"/>
  <c r="E107" i="2"/>
  <c r="F107" i="2"/>
  <c r="A108" i="2"/>
  <c r="B108" i="2"/>
  <c r="C108" i="2"/>
  <c r="D108" i="2"/>
  <c r="E108" i="2"/>
  <c r="F108" i="2"/>
  <c r="A109" i="2"/>
  <c r="B109" i="2"/>
  <c r="C109" i="2"/>
  <c r="D109" i="2"/>
  <c r="E109" i="2"/>
  <c r="F109" i="2"/>
  <c r="A110" i="2"/>
  <c r="B110" i="2"/>
  <c r="C110" i="2"/>
  <c r="D110" i="2"/>
  <c r="E110" i="2"/>
  <c r="F110" i="2"/>
  <c r="A111" i="2"/>
  <c r="B111" i="2"/>
  <c r="C111" i="2"/>
  <c r="D111" i="2"/>
  <c r="E111" i="2"/>
  <c r="F111" i="2"/>
  <c r="A112" i="2"/>
  <c r="B112" i="2"/>
  <c r="C112" i="2"/>
  <c r="D112" i="2"/>
  <c r="E112" i="2"/>
  <c r="F112" i="2"/>
  <c r="A113" i="2"/>
  <c r="B113" i="2"/>
  <c r="C113" i="2"/>
  <c r="D113" i="2"/>
  <c r="E113" i="2"/>
  <c r="F113" i="2"/>
  <c r="A114" i="2"/>
  <c r="B114" i="2"/>
  <c r="C114" i="2"/>
  <c r="D114" i="2"/>
  <c r="E114" i="2"/>
  <c r="F114" i="2"/>
  <c r="A115" i="2"/>
  <c r="B115" i="2"/>
  <c r="C115" i="2"/>
  <c r="D115" i="2"/>
  <c r="E115" i="2"/>
  <c r="F115" i="2"/>
  <c r="A116" i="2"/>
  <c r="B116" i="2"/>
  <c r="C116" i="2"/>
  <c r="D116" i="2"/>
  <c r="E116" i="2"/>
  <c r="F116" i="2"/>
  <c r="A117" i="2"/>
  <c r="B117" i="2"/>
  <c r="C117" i="2"/>
  <c r="D117" i="2"/>
  <c r="E117" i="2"/>
  <c r="F117" i="2"/>
  <c r="A118" i="2"/>
  <c r="B118" i="2"/>
  <c r="C118" i="2"/>
  <c r="D118" i="2"/>
  <c r="E118" i="2"/>
  <c r="F118" i="2"/>
  <c r="A119" i="2"/>
  <c r="B119" i="2"/>
  <c r="C119" i="2"/>
  <c r="D119" i="2"/>
  <c r="E119" i="2"/>
  <c r="F119" i="2"/>
  <c r="A120" i="2"/>
  <c r="B120" i="2"/>
  <c r="C120" i="2"/>
  <c r="D120" i="2"/>
  <c r="E120" i="2"/>
  <c r="F120" i="2"/>
  <c r="A121" i="2"/>
  <c r="B121" i="2"/>
  <c r="C121" i="2"/>
  <c r="D121" i="2"/>
  <c r="E121" i="2"/>
  <c r="F121" i="2"/>
  <c r="A122" i="2"/>
  <c r="B122" i="2"/>
  <c r="C122" i="2"/>
  <c r="D122" i="2"/>
  <c r="E122" i="2"/>
  <c r="F122" i="2"/>
  <c r="A123" i="2"/>
  <c r="B123" i="2"/>
  <c r="C123" i="2"/>
  <c r="D123" i="2"/>
  <c r="E123" i="2"/>
  <c r="F123" i="2"/>
  <c r="A124" i="2"/>
  <c r="B124" i="2"/>
  <c r="C124" i="2"/>
  <c r="D124" i="2"/>
  <c r="E124" i="2"/>
  <c r="F124" i="2"/>
  <c r="A125" i="2"/>
  <c r="B125" i="2"/>
  <c r="C125" i="2"/>
  <c r="D125" i="2"/>
  <c r="E125" i="2"/>
  <c r="F125" i="2"/>
  <c r="A126" i="2"/>
  <c r="B126" i="2"/>
  <c r="C126" i="2"/>
  <c r="D126" i="2"/>
  <c r="E126" i="2"/>
  <c r="F126" i="2"/>
  <c r="A127" i="2"/>
  <c r="B127" i="2"/>
  <c r="C127" i="2"/>
  <c r="D127" i="2"/>
  <c r="E127" i="2"/>
  <c r="F127" i="2"/>
  <c r="A128" i="2"/>
  <c r="B128" i="2"/>
  <c r="C128" i="2"/>
  <c r="D128" i="2"/>
  <c r="E128" i="2"/>
  <c r="F128" i="2"/>
  <c r="A129" i="2"/>
  <c r="B129" i="2"/>
  <c r="C129" i="2"/>
  <c r="D129" i="2"/>
  <c r="E129" i="2"/>
  <c r="F129" i="2"/>
  <c r="A130" i="2"/>
  <c r="B130" i="2"/>
  <c r="C130" i="2"/>
  <c r="D130" i="2"/>
  <c r="E130" i="2"/>
  <c r="F130" i="2"/>
  <c r="A131" i="2"/>
  <c r="B131" i="2"/>
  <c r="C131" i="2"/>
  <c r="D131" i="2"/>
  <c r="E131" i="2"/>
  <c r="F131" i="2"/>
  <c r="A132" i="2"/>
  <c r="B132" i="2"/>
  <c r="C132" i="2"/>
  <c r="D132" i="2"/>
  <c r="E132" i="2"/>
  <c r="F132" i="2"/>
  <c r="A133" i="2"/>
  <c r="B133" i="2"/>
  <c r="C133" i="2"/>
  <c r="D133" i="2"/>
  <c r="E133" i="2"/>
  <c r="F133" i="2"/>
  <c r="A134" i="2"/>
  <c r="B134" i="2"/>
  <c r="C134" i="2"/>
  <c r="D134" i="2"/>
  <c r="E134" i="2"/>
  <c r="F134" i="2"/>
  <c r="A135" i="2"/>
  <c r="B135" i="2"/>
  <c r="C135" i="2"/>
  <c r="D135" i="2"/>
  <c r="E135" i="2"/>
  <c r="F135" i="2"/>
  <c r="A136" i="2"/>
  <c r="B136" i="2"/>
  <c r="C136" i="2"/>
  <c r="D136" i="2"/>
  <c r="E136" i="2"/>
  <c r="F136" i="2"/>
  <c r="A137" i="2"/>
  <c r="B137" i="2"/>
  <c r="C137" i="2"/>
  <c r="D137" i="2"/>
  <c r="E137" i="2"/>
  <c r="F137" i="2"/>
  <c r="A138" i="2"/>
  <c r="B138" i="2"/>
  <c r="C138" i="2"/>
  <c r="D138" i="2"/>
  <c r="E138" i="2"/>
  <c r="F138" i="2"/>
  <c r="A139" i="2"/>
  <c r="B139" i="2"/>
  <c r="C139" i="2"/>
  <c r="D139" i="2"/>
  <c r="E139" i="2"/>
  <c r="F139" i="2"/>
  <c r="A140" i="2"/>
  <c r="B140" i="2"/>
  <c r="C140" i="2"/>
  <c r="D140" i="2"/>
  <c r="E140" i="2"/>
  <c r="F140" i="2"/>
  <c r="A141" i="2"/>
  <c r="B141" i="2"/>
  <c r="C141" i="2"/>
  <c r="D141" i="2"/>
  <c r="E141" i="2"/>
  <c r="F141" i="2"/>
  <c r="A142" i="2"/>
  <c r="B142" i="2"/>
  <c r="C142" i="2"/>
  <c r="D142" i="2"/>
  <c r="E142" i="2"/>
  <c r="F142" i="2"/>
  <c r="A143" i="2"/>
  <c r="B143" i="2"/>
  <c r="C143" i="2"/>
  <c r="D143" i="2"/>
  <c r="E143" i="2"/>
  <c r="F143" i="2"/>
  <c r="A144" i="2"/>
  <c r="B144" i="2"/>
  <c r="C144" i="2"/>
  <c r="D144" i="2"/>
  <c r="E144" i="2"/>
  <c r="F144" i="2"/>
  <c r="A145" i="2"/>
  <c r="B145" i="2"/>
  <c r="C145" i="2"/>
  <c r="D145" i="2"/>
  <c r="E145" i="2"/>
  <c r="F145" i="2"/>
  <c r="A146" i="2"/>
  <c r="B146" i="2"/>
  <c r="C146" i="2"/>
  <c r="D146" i="2"/>
  <c r="E146" i="2"/>
  <c r="F146" i="2"/>
  <c r="A147" i="2"/>
  <c r="B147" i="2"/>
  <c r="C147" i="2"/>
  <c r="D147" i="2"/>
  <c r="E147" i="2"/>
  <c r="F147" i="2"/>
  <c r="A148" i="2"/>
  <c r="B148" i="2"/>
  <c r="C148" i="2"/>
  <c r="D148" i="2"/>
  <c r="E148" i="2"/>
  <c r="F148" i="2"/>
  <c r="A149" i="2"/>
  <c r="B149" i="2"/>
  <c r="C149" i="2"/>
  <c r="D149" i="2"/>
  <c r="E149" i="2"/>
  <c r="F149" i="2"/>
  <c r="A150" i="2"/>
  <c r="B150" i="2"/>
  <c r="C150" i="2"/>
  <c r="D150" i="2"/>
  <c r="E150" i="2"/>
  <c r="F150" i="2"/>
  <c r="A151" i="2"/>
  <c r="B151" i="2"/>
  <c r="C151" i="2"/>
  <c r="D151" i="2"/>
  <c r="E151" i="2"/>
  <c r="F151" i="2"/>
  <c r="A152" i="2"/>
  <c r="B152" i="2"/>
  <c r="C152" i="2"/>
  <c r="D152" i="2"/>
  <c r="E152" i="2"/>
  <c r="F152" i="2"/>
  <c r="A153" i="2"/>
  <c r="B153" i="2"/>
  <c r="C153" i="2"/>
  <c r="D153" i="2"/>
  <c r="E153" i="2"/>
  <c r="F153" i="2"/>
  <c r="A154" i="2"/>
  <c r="B154" i="2"/>
  <c r="C154" i="2"/>
  <c r="D154" i="2"/>
  <c r="E154" i="2"/>
  <c r="F154" i="2"/>
  <c r="A155" i="2"/>
  <c r="B155" i="2"/>
  <c r="C155" i="2"/>
  <c r="D155" i="2"/>
  <c r="E155" i="2"/>
  <c r="F155" i="2"/>
  <c r="A156" i="2"/>
  <c r="B156" i="2"/>
  <c r="C156" i="2"/>
  <c r="D156" i="2"/>
  <c r="E156" i="2"/>
  <c r="F156" i="2"/>
  <c r="A157" i="2"/>
  <c r="B157" i="2"/>
  <c r="C157" i="2"/>
  <c r="D157" i="2"/>
  <c r="E157" i="2"/>
  <c r="F157" i="2"/>
  <c r="A158" i="2"/>
  <c r="B158" i="2"/>
  <c r="C158" i="2"/>
  <c r="D158" i="2"/>
  <c r="E158" i="2"/>
  <c r="F158" i="2"/>
  <c r="A159" i="2"/>
  <c r="B159" i="2"/>
  <c r="C159" i="2"/>
  <c r="D159" i="2"/>
  <c r="E159" i="2"/>
  <c r="F159" i="2"/>
  <c r="A160" i="2"/>
  <c r="B160" i="2"/>
  <c r="C160" i="2"/>
  <c r="D160" i="2"/>
  <c r="E160" i="2"/>
  <c r="F160" i="2"/>
  <c r="A161" i="2"/>
  <c r="B161" i="2"/>
  <c r="C161" i="2"/>
  <c r="D161" i="2"/>
  <c r="E161" i="2"/>
  <c r="F161" i="2"/>
  <c r="A162" i="2"/>
  <c r="B162" i="2"/>
  <c r="C162" i="2"/>
  <c r="D162" i="2"/>
  <c r="E162" i="2"/>
  <c r="F162" i="2"/>
  <c r="A163" i="2"/>
  <c r="B163" i="2"/>
  <c r="C163" i="2"/>
  <c r="D163" i="2"/>
  <c r="E163" i="2"/>
  <c r="F163" i="2"/>
  <c r="A164" i="2"/>
  <c r="B164" i="2"/>
  <c r="C164" i="2"/>
  <c r="D164" i="2"/>
  <c r="E164" i="2"/>
  <c r="F164" i="2"/>
  <c r="A165" i="2"/>
  <c r="B165" i="2"/>
  <c r="C165" i="2"/>
  <c r="D165" i="2"/>
  <c r="E165" i="2"/>
  <c r="F165" i="2"/>
  <c r="A166" i="2"/>
  <c r="B166" i="2"/>
  <c r="C166" i="2"/>
  <c r="D166" i="2"/>
  <c r="E166" i="2"/>
  <c r="F166" i="2"/>
  <c r="A167" i="2"/>
  <c r="B167" i="2"/>
  <c r="C167" i="2"/>
  <c r="D167" i="2"/>
  <c r="E167" i="2"/>
  <c r="F167" i="2"/>
  <c r="A168" i="2"/>
  <c r="B168" i="2"/>
  <c r="C168" i="2"/>
  <c r="D168" i="2"/>
  <c r="E168" i="2"/>
  <c r="F168" i="2"/>
  <c r="A169" i="2"/>
  <c r="B169" i="2"/>
  <c r="C169" i="2"/>
  <c r="D169" i="2"/>
  <c r="E169" i="2"/>
  <c r="F169" i="2"/>
  <c r="A170" i="2"/>
  <c r="B170" i="2"/>
  <c r="C170" i="2"/>
  <c r="D170" i="2"/>
  <c r="E170" i="2"/>
  <c r="F170" i="2"/>
  <c r="A171" i="2"/>
  <c r="B171" i="2"/>
  <c r="C171" i="2"/>
  <c r="D171" i="2"/>
  <c r="E171" i="2"/>
  <c r="F171" i="2"/>
  <c r="A172" i="2"/>
  <c r="B172" i="2"/>
  <c r="C172" i="2"/>
  <c r="D172" i="2"/>
  <c r="E172" i="2"/>
  <c r="F172" i="2"/>
  <c r="A173" i="2"/>
  <c r="B173" i="2"/>
  <c r="C173" i="2"/>
  <c r="D173" i="2"/>
  <c r="E173" i="2"/>
  <c r="F173" i="2"/>
  <c r="A174" i="2"/>
  <c r="B174" i="2"/>
  <c r="C174" i="2"/>
  <c r="D174" i="2"/>
  <c r="E174" i="2"/>
  <c r="F174" i="2"/>
  <c r="A175" i="2"/>
  <c r="B175" i="2"/>
  <c r="C175" i="2"/>
  <c r="D175" i="2"/>
  <c r="E175" i="2"/>
  <c r="F175" i="2"/>
  <c r="A176" i="2"/>
  <c r="B176" i="2"/>
  <c r="C176" i="2"/>
  <c r="D176" i="2"/>
  <c r="E176" i="2"/>
  <c r="F176" i="2"/>
  <c r="A177" i="2"/>
  <c r="B177" i="2"/>
  <c r="C177" i="2"/>
  <c r="D177" i="2"/>
  <c r="E177" i="2"/>
  <c r="F177" i="2"/>
  <c r="A178" i="2"/>
  <c r="B178" i="2"/>
  <c r="C178" i="2"/>
  <c r="D178" i="2"/>
  <c r="E178" i="2"/>
  <c r="F178" i="2"/>
  <c r="A179" i="2"/>
  <c r="B179" i="2"/>
  <c r="C179" i="2"/>
  <c r="D179" i="2"/>
  <c r="E179" i="2"/>
  <c r="F179" i="2"/>
  <c r="A180" i="2"/>
  <c r="B180" i="2"/>
  <c r="C180" i="2"/>
  <c r="D180" i="2"/>
  <c r="E180" i="2"/>
  <c r="F180" i="2"/>
  <c r="A181" i="2"/>
  <c r="B181" i="2"/>
  <c r="C181" i="2"/>
  <c r="D181" i="2"/>
  <c r="E181" i="2"/>
  <c r="F181" i="2"/>
  <c r="A182" i="2"/>
  <c r="B182" i="2"/>
  <c r="C182" i="2"/>
  <c r="D182" i="2"/>
  <c r="E182" i="2"/>
  <c r="F182" i="2"/>
  <c r="A183" i="2"/>
  <c r="B183" i="2"/>
  <c r="C183" i="2"/>
  <c r="D183" i="2"/>
  <c r="E183" i="2"/>
  <c r="F183" i="2"/>
  <c r="A184" i="2"/>
  <c r="B184" i="2"/>
  <c r="C184" i="2"/>
  <c r="D184" i="2"/>
  <c r="E184" i="2"/>
  <c r="F184" i="2"/>
  <c r="A185" i="2"/>
  <c r="B185" i="2"/>
  <c r="C185" i="2"/>
  <c r="D185" i="2"/>
  <c r="E185" i="2"/>
  <c r="F185" i="2"/>
  <c r="A186" i="2"/>
  <c r="B186" i="2"/>
  <c r="C186" i="2"/>
  <c r="D186" i="2"/>
  <c r="E186" i="2"/>
  <c r="F186" i="2"/>
  <c r="A187" i="2"/>
  <c r="B187" i="2"/>
  <c r="C187" i="2"/>
  <c r="D187" i="2"/>
  <c r="E187" i="2"/>
  <c r="F187" i="2"/>
  <c r="A188" i="2"/>
  <c r="B188" i="2"/>
  <c r="C188" i="2"/>
  <c r="D188" i="2"/>
  <c r="E188" i="2"/>
  <c r="F188" i="2"/>
  <c r="A189" i="2"/>
  <c r="B189" i="2"/>
  <c r="C189" i="2"/>
  <c r="D189" i="2"/>
  <c r="E189" i="2"/>
  <c r="F189" i="2"/>
  <c r="A190" i="2"/>
  <c r="B190" i="2"/>
  <c r="C190" i="2"/>
  <c r="D190" i="2"/>
  <c r="E190" i="2"/>
  <c r="F190" i="2"/>
  <c r="A191" i="2"/>
  <c r="B191" i="2"/>
  <c r="C191" i="2"/>
  <c r="D191" i="2"/>
  <c r="E191" i="2"/>
  <c r="F191" i="2"/>
  <c r="A192" i="2"/>
  <c r="B192" i="2"/>
  <c r="C192" i="2"/>
  <c r="D192" i="2"/>
  <c r="E192" i="2"/>
  <c r="F192" i="2"/>
  <c r="A193" i="2"/>
  <c r="B193" i="2"/>
  <c r="C193" i="2"/>
  <c r="D193" i="2"/>
  <c r="E193" i="2"/>
  <c r="F193" i="2"/>
  <c r="A194" i="2"/>
  <c r="B194" i="2"/>
  <c r="C194" i="2"/>
  <c r="D194" i="2"/>
  <c r="E194" i="2"/>
  <c r="F194" i="2"/>
  <c r="A195" i="2"/>
  <c r="B195" i="2"/>
  <c r="C195" i="2"/>
  <c r="D195" i="2"/>
  <c r="E195" i="2"/>
  <c r="F195" i="2"/>
  <c r="A196" i="2"/>
  <c r="B196" i="2"/>
  <c r="C196" i="2"/>
  <c r="D196" i="2"/>
  <c r="E196" i="2"/>
  <c r="F196" i="2"/>
  <c r="A197" i="2"/>
  <c r="B197" i="2"/>
  <c r="C197" i="2"/>
  <c r="D197" i="2"/>
  <c r="E197" i="2"/>
  <c r="F197" i="2"/>
  <c r="A198" i="2"/>
  <c r="B198" i="2"/>
  <c r="C198" i="2"/>
  <c r="D198" i="2"/>
  <c r="E198" i="2"/>
  <c r="F198" i="2"/>
  <c r="A199" i="2"/>
  <c r="B199" i="2"/>
  <c r="C199" i="2"/>
  <c r="D199" i="2"/>
  <c r="E199" i="2"/>
  <c r="F199" i="2"/>
  <c r="A200" i="2"/>
  <c r="B200" i="2"/>
  <c r="C200" i="2"/>
  <c r="D200" i="2"/>
  <c r="E200" i="2"/>
  <c r="F200" i="2"/>
  <c r="A201" i="2"/>
  <c r="B201" i="2"/>
  <c r="C201" i="2"/>
  <c r="D201" i="2"/>
  <c r="E201" i="2"/>
  <c r="F201" i="2"/>
  <c r="A202" i="2"/>
  <c r="B202" i="2"/>
  <c r="C202" i="2"/>
  <c r="D202" i="2"/>
  <c r="E202" i="2"/>
  <c r="F202" i="2"/>
  <c r="A203" i="2"/>
  <c r="B203" i="2"/>
  <c r="C203" i="2"/>
  <c r="D203" i="2"/>
  <c r="E203" i="2"/>
  <c r="F203" i="2"/>
  <c r="A204" i="2"/>
  <c r="B204" i="2"/>
  <c r="C204" i="2"/>
  <c r="D204" i="2"/>
  <c r="E204" i="2"/>
  <c r="F204" i="2"/>
  <c r="H219" i="1"/>
  <c r="I219" i="1" s="1"/>
  <c r="H220" i="1"/>
  <c r="I220" i="1"/>
  <c r="H206" i="1"/>
  <c r="H205" i="1"/>
  <c r="H218" i="1"/>
  <c r="I218" i="1" s="1"/>
  <c r="H217" i="1"/>
  <c r="I217" i="1" s="1"/>
  <c r="H216" i="1"/>
  <c r="I216" i="1" s="1"/>
  <c r="H215" i="1"/>
  <c r="I215" i="1" s="1"/>
  <c r="H214" i="1"/>
  <c r="I214" i="1" s="1"/>
  <c r="H213" i="1"/>
  <c r="I213" i="1" s="1"/>
  <c r="H212" i="1"/>
  <c r="I212" i="1" s="1"/>
  <c r="H211" i="1"/>
  <c r="I211" i="1" s="1"/>
  <c r="H204" i="1"/>
  <c r="I204" i="1" s="1"/>
  <c r="H203" i="1"/>
  <c r="I203" i="1" s="1"/>
  <c r="H202" i="1"/>
  <c r="I202" i="1" s="1"/>
  <c r="H201" i="1"/>
  <c r="I201" i="1" s="1"/>
  <c r="H200" i="1"/>
  <c r="I200" i="1" s="1"/>
  <c r="H199" i="1"/>
  <c r="I199" i="1" s="1"/>
  <c r="H198" i="1"/>
  <c r="I198" i="1" s="1"/>
  <c r="H197" i="1"/>
  <c r="I197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2" i="1"/>
  <c r="I2" i="1" s="1"/>
  <c r="B1" i="2"/>
  <c r="C1" i="2"/>
  <c r="D1" i="2"/>
  <c r="E1" i="2"/>
  <c r="F1" i="2"/>
  <c r="A1" i="2"/>
</calcChain>
</file>

<file path=xl/sharedStrings.xml><?xml version="1.0" encoding="utf-8"?>
<sst xmlns="http://schemas.openxmlformats.org/spreadsheetml/2006/main" count="1675" uniqueCount="479">
  <si>
    <t>OZA_ID</t>
    <phoneticPr fontId="2"/>
  </si>
  <si>
    <t>校舎ID</t>
    <rPh sb="0" eb="2">
      <t>コウシャ</t>
    </rPh>
    <phoneticPr fontId="2"/>
  </si>
  <si>
    <t>校舎名</t>
  </si>
  <si>
    <t>ルーム名</t>
    <rPh sb="3" eb="4">
      <t>メイ</t>
    </rPh>
    <phoneticPr fontId="2"/>
  </si>
  <si>
    <t>尾張旭校</t>
  </si>
  <si>
    <t>ROOM1</t>
  </si>
  <si>
    <t>１F アン</t>
  </si>
  <si>
    <t>ROOM2</t>
  </si>
  <si>
    <t>１F 会議室大</t>
  </si>
  <si>
    <t>Room1</t>
  </si>
  <si>
    <t>Room2</t>
  </si>
  <si>
    <t>Room3</t>
  </si>
  <si>
    <t>Room4</t>
  </si>
  <si>
    <t>Room5</t>
  </si>
  <si>
    <t>塾部屋</t>
  </si>
  <si>
    <t>アン部屋</t>
  </si>
  <si>
    <t>そろばん部屋</t>
  </si>
  <si>
    <t>そろばん/習字</t>
  </si>
  <si>
    <t>ROOM3</t>
  </si>
  <si>
    <t>１F 会議室小</t>
  </si>
  <si>
    <t>塾部屋1</t>
    <phoneticPr fontId="2"/>
  </si>
  <si>
    <t>ROOM4</t>
  </si>
  <si>
    <t>２F 塾部屋</t>
  </si>
  <si>
    <t>知多西校</t>
  </si>
  <si>
    <t>ROOM5</t>
  </si>
  <si>
    <t>２F そろばん/習字</t>
  </si>
  <si>
    <t>大府月見校</t>
  </si>
  <si>
    <t>ROOM6</t>
  </si>
  <si>
    <t>２F 応接/中受験</t>
  </si>
  <si>
    <t>ROOM7</t>
  </si>
  <si>
    <t>２F 中入研倉庫</t>
  </si>
  <si>
    <t>吉根校</t>
  </si>
  <si>
    <t>大高校</t>
  </si>
  <si>
    <t>小幡校</t>
  </si>
  <si>
    <t>1Fそろばん習字</t>
  </si>
  <si>
    <t>2F　アン部屋</t>
  </si>
  <si>
    <t>2F　塾部屋</t>
  </si>
  <si>
    <t>喜多山校</t>
  </si>
  <si>
    <t>会議部屋</t>
  </si>
  <si>
    <t>本山校</t>
  </si>
  <si>
    <t>アン・そろばん</t>
  </si>
  <si>
    <t>習字・学習塾</t>
  </si>
  <si>
    <t>千種谷口校</t>
  </si>
  <si>
    <t>アンそろばん</t>
  </si>
  <si>
    <t>千種本部校</t>
  </si>
  <si>
    <t>そろばん習字</t>
  </si>
  <si>
    <t>学童</t>
  </si>
  <si>
    <t>塾1・小中</t>
  </si>
  <si>
    <t>塾２・PG</t>
  </si>
  <si>
    <t>ゲイツ・マンツー</t>
  </si>
  <si>
    <t>アン</t>
  </si>
  <si>
    <t>塾3・キッズ</t>
  </si>
  <si>
    <t>豊明三崎校</t>
  </si>
  <si>
    <t>1Fアン</t>
  </si>
  <si>
    <t>2Fそろばん習字</t>
  </si>
  <si>
    <t>三郷校</t>
  </si>
  <si>
    <t>1Fそろばん</t>
  </si>
  <si>
    <t>3Fアン</t>
  </si>
  <si>
    <t>瀬戸山口校</t>
  </si>
  <si>
    <t>そろばん筆っこ</t>
  </si>
  <si>
    <t>アンイングリッシュ</t>
  </si>
  <si>
    <t>進学ジム・さんこく・プログラミング</t>
  </si>
  <si>
    <t>四軒家校</t>
  </si>
  <si>
    <t>1階塾</t>
  </si>
  <si>
    <t>2階アン</t>
  </si>
  <si>
    <t>3階そろ筆</t>
  </si>
  <si>
    <t>新守山校</t>
  </si>
  <si>
    <t>甚目寺校</t>
  </si>
  <si>
    <t>アン/習字</t>
  </si>
  <si>
    <t>そろばん</t>
  </si>
  <si>
    <t>瀬戸本部校</t>
  </si>
  <si>
    <t>2Fそろばん</t>
  </si>
  <si>
    <t>２F筆っこ</t>
  </si>
  <si>
    <t>2Fアンイングリッシュ</t>
  </si>
  <si>
    <t>1F進学ジム・さんこく・プログラミング</t>
  </si>
  <si>
    <t>２F高校生自習席（ブース）</t>
  </si>
  <si>
    <t>2F部屋（倉庫）</t>
  </si>
  <si>
    <t>春日井駅前校</t>
  </si>
  <si>
    <t>アン/そろ</t>
  </si>
  <si>
    <t>守山本部校</t>
  </si>
  <si>
    <t>1F塾</t>
  </si>
  <si>
    <t>1Fアン・塾</t>
  </si>
  <si>
    <t>2Fそろばん・習字・塾</t>
  </si>
  <si>
    <t>2F習字・塾</t>
  </si>
  <si>
    <t>3Fアン・塾</t>
  </si>
  <si>
    <t>ドンキ小牧教室</t>
  </si>
  <si>
    <t>そろばん・習字</t>
  </si>
  <si>
    <t>島田橋西校</t>
  </si>
  <si>
    <t>そろ/筆</t>
  </si>
  <si>
    <t>一宮千秋校</t>
  </si>
  <si>
    <t>前後校</t>
  </si>
  <si>
    <t>塾・プログラミング・習字</t>
  </si>
  <si>
    <t>あま本部校</t>
  </si>
  <si>
    <t>一階塾プログラミング将棋</t>
  </si>
  <si>
    <t>2階そろばん筆っこ</t>
  </si>
  <si>
    <t>平針校</t>
  </si>
  <si>
    <t>守山金屋校</t>
  </si>
  <si>
    <t>瑞穂陽明校</t>
  </si>
  <si>
    <t>佐古木校</t>
  </si>
  <si>
    <t>南本町校</t>
  </si>
  <si>
    <t>蟹江校</t>
  </si>
  <si>
    <t>清洲校</t>
  </si>
  <si>
    <t>東郷校</t>
  </si>
  <si>
    <t>丸一校</t>
  </si>
  <si>
    <t>2F塾</t>
  </si>
  <si>
    <t>扶桑校</t>
  </si>
  <si>
    <t>野並校</t>
  </si>
  <si>
    <t>愛西本部校</t>
  </si>
  <si>
    <t>学習塾</t>
  </si>
  <si>
    <t>英語</t>
  </si>
  <si>
    <t>美文字</t>
  </si>
  <si>
    <t>ニッケタウン稲沢校</t>
  </si>
  <si>
    <t>ヨシヅヤ豊山校</t>
  </si>
  <si>
    <t>須田塾岐阜本部校</t>
  </si>
  <si>
    <t>1F 学習塾</t>
  </si>
  <si>
    <t>1E アン</t>
  </si>
  <si>
    <t>2F 学習塾</t>
  </si>
  <si>
    <t>3F そろばん･筆っこ</t>
  </si>
  <si>
    <t>3F 文理 8+12</t>
  </si>
  <si>
    <t>須田塾岩田校</t>
  </si>
  <si>
    <t>塾　プログラミング</t>
  </si>
  <si>
    <t>アン　筆っこ</t>
  </si>
  <si>
    <t>犬山校</t>
  </si>
  <si>
    <t>アンそろ筆</t>
  </si>
  <si>
    <t>鵜沼校</t>
  </si>
  <si>
    <t>清水校</t>
  </si>
  <si>
    <t>そろばん・筆っこ</t>
  </si>
  <si>
    <t>ナフコ二重堀校</t>
  </si>
  <si>
    <t>アオキスーパー西枇杷島校</t>
  </si>
  <si>
    <t>白鳳校</t>
  </si>
  <si>
    <t>3F文理大</t>
  </si>
  <si>
    <t>3F文理中</t>
  </si>
  <si>
    <t>3F文理小</t>
  </si>
  <si>
    <t>2Fジム</t>
  </si>
  <si>
    <t>2Fさん・プロ</t>
  </si>
  <si>
    <t>2F美・そろ</t>
  </si>
  <si>
    <t>2Fアン</t>
  </si>
  <si>
    <t>ROOM8</t>
  </si>
  <si>
    <t>ROOM9</t>
  </si>
  <si>
    <t>インター</t>
  </si>
  <si>
    <t>ROOM10</t>
  </si>
  <si>
    <t>小部屋×2</t>
  </si>
  <si>
    <t>ナフコ坂下校</t>
  </si>
  <si>
    <t>ナフコ宝神校</t>
  </si>
  <si>
    <t>アン/そろ/筆</t>
  </si>
  <si>
    <t>牛山校</t>
  </si>
  <si>
    <t>岡崎校</t>
  </si>
  <si>
    <t>A1　面談室</t>
  </si>
  <si>
    <t>A2　そろばん/小学受験科</t>
  </si>
  <si>
    <t>B　アン学びワールド/AEC</t>
  </si>
  <si>
    <t>C1　塾/プログラミング/将棋</t>
  </si>
  <si>
    <t>C2　習字/Lepton</t>
  </si>
  <si>
    <t>康生校</t>
  </si>
  <si>
    <t>4F A　そろばん/小学受験科</t>
  </si>
  <si>
    <t>4F B　塾/Lepton</t>
  </si>
  <si>
    <t>4F C　小学受験科/自習室</t>
  </si>
  <si>
    <t>5F A　附小サクセス/塾</t>
  </si>
  <si>
    <t>5F B　習字/AEC</t>
  </si>
  <si>
    <t>長森南校</t>
  </si>
  <si>
    <t>そろばん･筆っこ</t>
  </si>
  <si>
    <t>河和校</t>
  </si>
  <si>
    <t>1F アン</t>
  </si>
  <si>
    <t>2F そろばん･筆っこ</t>
  </si>
  <si>
    <t>3F 施錠された部屋</t>
  </si>
  <si>
    <t>ナフコサンライフ校</t>
  </si>
  <si>
    <t>1Fアン塾</t>
  </si>
  <si>
    <t>2F①塾</t>
  </si>
  <si>
    <t>2F②そろ筆塾</t>
  </si>
  <si>
    <t>2F③塾</t>
  </si>
  <si>
    <t>有松校</t>
  </si>
  <si>
    <t>1Fアンそろ筆塾</t>
  </si>
  <si>
    <t>2F②塾</t>
  </si>
  <si>
    <t>荒尾校</t>
  </si>
  <si>
    <t>1Fアン筆塾</t>
  </si>
  <si>
    <t>2F①そろ塾</t>
  </si>
  <si>
    <t>横須賀校</t>
  </si>
  <si>
    <t>新大府校</t>
  </si>
  <si>
    <t>2F①そろ筆塾</t>
  </si>
  <si>
    <t>巽が丘校</t>
  </si>
  <si>
    <t>新安城校</t>
  </si>
  <si>
    <t>名古屋駅前校</t>
  </si>
  <si>
    <t>4FA</t>
  </si>
  <si>
    <t>4FB</t>
  </si>
  <si>
    <t>4FC</t>
  </si>
  <si>
    <t>5FD</t>
  </si>
  <si>
    <t>5FE</t>
  </si>
  <si>
    <t>1F多目的室</t>
  </si>
  <si>
    <t>長良高校前校</t>
  </si>
  <si>
    <t>3F大</t>
  </si>
  <si>
    <t>3F中</t>
  </si>
  <si>
    <t>3F小</t>
  </si>
  <si>
    <t>塾部屋2</t>
  </si>
  <si>
    <t>塾部屋3</t>
  </si>
  <si>
    <t>塾部屋</t>
    <phoneticPr fontId="2"/>
  </si>
  <si>
    <t>自習室</t>
    <phoneticPr fontId="2"/>
  </si>
  <si>
    <t>英会話・習字</t>
    <phoneticPr fontId="2"/>
  </si>
  <si>
    <t>S10001</t>
  </si>
  <si>
    <t>S10002</t>
  </si>
  <si>
    <t>S10003</t>
  </si>
  <si>
    <t>S10004</t>
  </si>
  <si>
    <t>S10006</t>
  </si>
  <si>
    <t>S10007</t>
  </si>
  <si>
    <t>S10008</t>
  </si>
  <si>
    <t>S10009</t>
  </si>
  <si>
    <t>S10010</t>
  </si>
  <si>
    <t>S10011</t>
  </si>
  <si>
    <t>S10012</t>
  </si>
  <si>
    <t>S10013</t>
  </si>
  <si>
    <t>S10016</t>
  </si>
  <si>
    <t>S10017</t>
  </si>
  <si>
    <t>S10018</t>
  </si>
  <si>
    <t>S10019</t>
  </si>
  <si>
    <t>S10020</t>
  </si>
  <si>
    <t>S10021</t>
  </si>
  <si>
    <t>S10022</t>
  </si>
  <si>
    <t>S10023</t>
  </si>
  <si>
    <t>S10024</t>
  </si>
  <si>
    <t>S10025</t>
  </si>
  <si>
    <t>S10026</t>
  </si>
  <si>
    <t>S10027</t>
  </si>
  <si>
    <t>S10028</t>
  </si>
  <si>
    <t>S10030</t>
  </si>
  <si>
    <t>S10031</t>
  </si>
  <si>
    <t>S10032</t>
  </si>
  <si>
    <t>S10034</t>
  </si>
  <si>
    <t>S10035</t>
  </si>
  <si>
    <t>S10037</t>
  </si>
  <si>
    <t>S10038</t>
  </si>
  <si>
    <t>S10039</t>
  </si>
  <si>
    <t>S10040</t>
  </si>
  <si>
    <t>S10041</t>
  </si>
  <si>
    <t>S10045</t>
  </si>
  <si>
    <t>S10046</t>
  </si>
  <si>
    <t>S10042</t>
  </si>
  <si>
    <t>S10043</t>
  </si>
  <si>
    <t>S10055</t>
  </si>
  <si>
    <t>S10056</t>
  </si>
  <si>
    <t>S10057</t>
  </si>
  <si>
    <t>S10058</t>
  </si>
  <si>
    <t>S10099</t>
  </si>
  <si>
    <t>S10100</t>
  </si>
  <si>
    <t>S10101</t>
  </si>
  <si>
    <t>S10106</t>
  </si>
  <si>
    <t>S10107</t>
  </si>
  <si>
    <t>S10109</t>
  </si>
  <si>
    <t>S10113</t>
  </si>
  <si>
    <t>S10112</t>
  </si>
  <si>
    <t>S10156</t>
  </si>
  <si>
    <t>S10157</t>
  </si>
  <si>
    <t>S10158</t>
  </si>
  <si>
    <t>S10159</t>
  </si>
  <si>
    <t>S10161</t>
  </si>
  <si>
    <t>S10162</t>
  </si>
  <si>
    <t>S10163</t>
  </si>
  <si>
    <t>S10165</t>
  </si>
  <si>
    <t>S10166</t>
  </si>
  <si>
    <t>S10167</t>
  </si>
  <si>
    <t>S10160</t>
  </si>
  <si>
    <t>席数</t>
    <rPh sb="0" eb="2">
      <t>セキスウ</t>
    </rPh>
    <phoneticPr fontId="2"/>
  </si>
  <si>
    <t>教室の説明</t>
    <rPh sb="0" eb="2">
      <t>キョウシツ</t>
    </rPh>
    <phoneticPr fontId="2"/>
  </si>
  <si>
    <t>校舎ID</t>
  </si>
  <si>
    <t>校舎ローマ字名</t>
  </si>
  <si>
    <t>短縮名</t>
  </si>
  <si>
    <t>部屋数</t>
  </si>
  <si>
    <t>Owariasahi</t>
  </si>
  <si>
    <t>尾張旭</t>
  </si>
  <si>
    <t>Kikko</t>
  </si>
  <si>
    <t>Obata</t>
  </si>
  <si>
    <t>Kitayama</t>
  </si>
  <si>
    <t>喜多山</t>
  </si>
  <si>
    <t>Motoyama</t>
  </si>
  <si>
    <t>Taniguchi</t>
  </si>
  <si>
    <t>谷口校</t>
  </si>
  <si>
    <t>Chikusa</t>
  </si>
  <si>
    <t>千種本</t>
  </si>
  <si>
    <t>Toyoake</t>
  </si>
  <si>
    <t>豊明三</t>
  </si>
  <si>
    <t>Sango</t>
  </si>
  <si>
    <t>Yamaguchi</t>
  </si>
  <si>
    <t>瀬戸山</t>
  </si>
  <si>
    <t>Shikenya</t>
  </si>
  <si>
    <t>四軒家</t>
  </si>
  <si>
    <t>Shinmori</t>
  </si>
  <si>
    <t>新守山</t>
  </si>
  <si>
    <t>Jimokuji</t>
  </si>
  <si>
    <t>甚目寺</t>
  </si>
  <si>
    <t>Setohon</t>
  </si>
  <si>
    <t>瀬戸本</t>
  </si>
  <si>
    <t>Kasugai</t>
  </si>
  <si>
    <t>春日井</t>
  </si>
  <si>
    <t>Morihon</t>
  </si>
  <si>
    <t>守山本</t>
  </si>
  <si>
    <t>Komaki</t>
  </si>
  <si>
    <t>小牧西</t>
  </si>
  <si>
    <t>Shimadabashi</t>
  </si>
  <si>
    <t>島田橋</t>
  </si>
  <si>
    <t>Chiaki</t>
  </si>
  <si>
    <t>一宮千</t>
  </si>
  <si>
    <t>Zengo</t>
  </si>
  <si>
    <t>Ama</t>
  </si>
  <si>
    <t>あま本</t>
  </si>
  <si>
    <t>Hirabari</t>
  </si>
  <si>
    <t>Kanaya</t>
  </si>
  <si>
    <t>金屋校</t>
  </si>
  <si>
    <t>Youmei</t>
  </si>
  <si>
    <t>陽明校</t>
  </si>
  <si>
    <t>Sakogi</t>
  </si>
  <si>
    <t>佐古木</t>
  </si>
  <si>
    <t>Minamihonmachi</t>
  </si>
  <si>
    <t>南本町</t>
  </si>
  <si>
    <t>Kanie</t>
  </si>
  <si>
    <t>Kiyosu</t>
  </si>
  <si>
    <t>Togo</t>
  </si>
  <si>
    <t>Maruichi</t>
  </si>
  <si>
    <t>Fuso</t>
  </si>
  <si>
    <t>Nonami</t>
  </si>
  <si>
    <t>Aisai</t>
  </si>
  <si>
    <t>愛西本</t>
  </si>
  <si>
    <t>Inazawa</t>
  </si>
  <si>
    <t>稲沢校</t>
  </si>
  <si>
    <t>Toyoyama</t>
  </si>
  <si>
    <t>豊山校</t>
  </si>
  <si>
    <t>Gifuhon</t>
  </si>
  <si>
    <t>岐阜本</t>
  </si>
  <si>
    <t>Iwata</t>
  </si>
  <si>
    <t>岩田校</t>
  </si>
  <si>
    <t>Inuyama</t>
  </si>
  <si>
    <t>Unuma</t>
  </si>
  <si>
    <t>Shimizu</t>
  </si>
  <si>
    <t>Futaebori</t>
  </si>
  <si>
    <t>二重堀</t>
  </si>
  <si>
    <t>Biwajima</t>
  </si>
  <si>
    <t>枇杷島</t>
  </si>
  <si>
    <t>Hakuhou</t>
  </si>
  <si>
    <t>Sakashita</t>
  </si>
  <si>
    <t>坂下校</t>
  </si>
  <si>
    <t>Houjin</t>
  </si>
  <si>
    <t>宝神校</t>
  </si>
  <si>
    <t>Ushiyama</t>
  </si>
  <si>
    <t>Okazaki</t>
  </si>
  <si>
    <t>Kousei</t>
  </si>
  <si>
    <t>Nagamori</t>
  </si>
  <si>
    <t>長森南</t>
  </si>
  <si>
    <t>Kouwa</t>
  </si>
  <si>
    <t>Sunlife</t>
  </si>
  <si>
    <t>サンラ</t>
  </si>
  <si>
    <t>Oodaka</t>
  </si>
  <si>
    <t>Arimatsu</t>
  </si>
  <si>
    <t>Arao</t>
  </si>
  <si>
    <t>Yokosuka</t>
  </si>
  <si>
    <t>横須賀</t>
  </si>
  <si>
    <t>ShinOobu</t>
  </si>
  <si>
    <t>新大府</t>
  </si>
  <si>
    <t>Tatsumigaoka</t>
  </si>
  <si>
    <t>巽が丘</t>
  </si>
  <si>
    <t>Chitanishi</t>
  </si>
  <si>
    <t>知多西</t>
  </si>
  <si>
    <t>Shinanjo</t>
  </si>
  <si>
    <t>新安城</t>
  </si>
  <si>
    <t>Nagoyaekimae</t>
  </si>
  <si>
    <t>名駅校</t>
  </si>
  <si>
    <t>Nagara</t>
  </si>
  <si>
    <t>長良高</t>
  </si>
  <si>
    <t>S10169</t>
  </si>
  <si>
    <t>三里校</t>
  </si>
  <si>
    <t>Misato</t>
  </si>
  <si>
    <t>S10168</t>
  </si>
  <si>
    <t>長良校</t>
  </si>
  <si>
    <t>Nagarakou</t>
  </si>
  <si>
    <t>S10173</t>
  </si>
  <si>
    <t>光の泉北校</t>
  </si>
  <si>
    <t>Hikarinoizumikita</t>
  </si>
  <si>
    <t>泉北校</t>
  </si>
  <si>
    <t>S10172</t>
  </si>
  <si>
    <t>光の泉本校</t>
  </si>
  <si>
    <t>Hikarinoizumihonkou</t>
  </si>
  <si>
    <t>泉本校</t>
  </si>
  <si>
    <t>S10175</t>
  </si>
  <si>
    <t>岐阜駅南口校</t>
  </si>
  <si>
    <t>Gifuekiminami</t>
  </si>
  <si>
    <t>岐阜南</t>
  </si>
  <si>
    <t>Obutsukimi</t>
  </si>
  <si>
    <t>月見校</t>
  </si>
  <si>
    <t>S10170</t>
  </si>
  <si>
    <t>笠松校</t>
  </si>
  <si>
    <t>Kasamatsu</t>
  </si>
  <si>
    <t>校舎名</t>
    <rPh sb="0" eb="3">
      <t>コウシャメイ</t>
    </rPh>
    <phoneticPr fontId="9"/>
  </si>
  <si>
    <t>No</t>
    <phoneticPr fontId="9"/>
  </si>
  <si>
    <t>机数</t>
    <phoneticPr fontId="9"/>
  </si>
  <si>
    <t>教室名</t>
  </si>
  <si>
    <t>光の泉本校・岐阜駅南口校</t>
  </si>
  <si>
    <t>教室1</t>
  </si>
  <si>
    <t>1F</t>
  </si>
  <si>
    <t>長机</t>
    <rPh sb="0" eb="2">
      <t>ナガヅクエ</t>
    </rPh>
    <phoneticPr fontId="9"/>
  </si>
  <si>
    <t>教室2</t>
  </si>
  <si>
    <t>2F①</t>
  </si>
  <si>
    <t>教室3</t>
  </si>
  <si>
    <t>2F②</t>
  </si>
  <si>
    <t>教室4</t>
  </si>
  <si>
    <t>2F③</t>
  </si>
  <si>
    <t>教室5</t>
  </si>
  <si>
    <t>2Fオープン</t>
  </si>
  <si>
    <t>教室6</t>
  </si>
  <si>
    <t>3F</t>
  </si>
  <si>
    <t>教室7</t>
  </si>
  <si>
    <t>4F-1</t>
  </si>
  <si>
    <t>教室8</t>
  </si>
  <si>
    <t>4F-2</t>
  </si>
  <si>
    <t>教室9</t>
  </si>
  <si>
    <t>5F-1</t>
  </si>
  <si>
    <t>教室10</t>
  </si>
  <si>
    <t>5F-2</t>
  </si>
  <si>
    <t>教室11</t>
  </si>
  <si>
    <t>5F-4</t>
  </si>
  <si>
    <t>教室12</t>
  </si>
  <si>
    <t>6F-1</t>
  </si>
  <si>
    <t>教室13</t>
  </si>
  <si>
    <t>6F-2</t>
  </si>
  <si>
    <t>長良校・光の泉北校</t>
  </si>
  <si>
    <t>2F奥</t>
  </si>
  <si>
    <t>2F旧アニー部屋</t>
  </si>
  <si>
    <t>2F自習ブース</t>
  </si>
  <si>
    <t>2F山の手①</t>
  </si>
  <si>
    <t>高校個別</t>
    <rPh sb="0" eb="4">
      <t>コウコウコベツ</t>
    </rPh>
    <phoneticPr fontId="9"/>
  </si>
  <si>
    <t>3F1番</t>
  </si>
  <si>
    <t>3F2番</t>
  </si>
  <si>
    <t>3F3番</t>
  </si>
  <si>
    <t>3F4番</t>
  </si>
  <si>
    <t>3F5番</t>
  </si>
  <si>
    <t>4F北</t>
  </si>
  <si>
    <t>4F真ん中</t>
  </si>
  <si>
    <t>教室14</t>
  </si>
  <si>
    <t>4F南</t>
  </si>
  <si>
    <t>大教室</t>
  </si>
  <si>
    <t>小教室</t>
  </si>
  <si>
    <t>オープン</t>
  </si>
  <si>
    <t>ガクセン</t>
  </si>
  <si>
    <t>自習ブース</t>
  </si>
  <si>
    <t>那加校</t>
  </si>
  <si>
    <t>1F手前</t>
  </si>
  <si>
    <t>1F奥</t>
  </si>
  <si>
    <t>2F左手前</t>
  </si>
  <si>
    <t>2F左奥</t>
  </si>
  <si>
    <t>2F右奥</t>
  </si>
  <si>
    <t>奥</t>
  </si>
  <si>
    <t>真ん中</t>
  </si>
  <si>
    <t>ロボ</t>
  </si>
  <si>
    <t>岐阜予備</t>
  </si>
  <si>
    <t>大</t>
  </si>
  <si>
    <t>小</t>
  </si>
  <si>
    <t>事務室兼個別</t>
  </si>
  <si>
    <t>自習室</t>
  </si>
  <si>
    <t>休憩室と自習室</t>
  </si>
  <si>
    <t>変更箇所</t>
    <rPh sb="0" eb="2">
      <t>ヘンコウ</t>
    </rPh>
    <rPh sb="2" eb="4">
      <t>カショ</t>
    </rPh>
    <phoneticPr fontId="9"/>
  </si>
  <si>
    <t>Room6</t>
  </si>
  <si>
    <t>Room7</t>
  </si>
  <si>
    <t>Room8</t>
  </si>
  <si>
    <t>Room9</t>
  </si>
  <si>
    <t>Room10</t>
  </si>
  <si>
    <t>Room11</t>
  </si>
  <si>
    <t>Room12</t>
  </si>
  <si>
    <t>Room13</t>
  </si>
  <si>
    <t>Room14</t>
  </si>
  <si>
    <t>S10171</t>
    <phoneticPr fontId="2"/>
  </si>
  <si>
    <t>S10174</t>
    <phoneticPr fontId="2"/>
  </si>
  <si>
    <t>アン</t>
    <phoneticPr fontId="2"/>
  </si>
  <si>
    <t>そろ</t>
    <phoneticPr fontId="2"/>
  </si>
  <si>
    <t>習字</t>
    <rPh sb="0" eb="2">
      <t>シュウジ</t>
    </rPh>
    <phoneticPr fontId="2"/>
  </si>
  <si>
    <t>ブランド→</t>
    <phoneticPr fontId="2"/>
  </si>
  <si>
    <t>光の泉</t>
    <rPh sb="0" eb="1">
      <t>ヒカリ</t>
    </rPh>
    <rPh sb="2" eb="3">
      <t>イズミ</t>
    </rPh>
    <phoneticPr fontId="2"/>
  </si>
  <si>
    <t>本科</t>
    <rPh sb="0" eb="2">
      <t>ホンカ</t>
    </rPh>
    <phoneticPr fontId="2"/>
  </si>
  <si>
    <t>山の手</t>
    <rPh sb="0" eb="1">
      <t>ヤマ</t>
    </rPh>
    <rPh sb="2" eb="3">
      <t>テ</t>
    </rPh>
    <phoneticPr fontId="2"/>
  </si>
  <si>
    <t>さんこく</t>
    <phoneticPr fontId="2"/>
  </si>
  <si>
    <t>プログラミング</t>
    <phoneticPr fontId="2"/>
  </si>
  <si>
    <t>キタン文理</t>
    <rPh sb="3" eb="5">
      <t>ブンリ</t>
    </rPh>
    <phoneticPr fontId="2"/>
  </si>
  <si>
    <t>●</t>
    <phoneticPr fontId="2"/>
  </si>
  <si>
    <t>附小サクセス</t>
    <rPh sb="0" eb="1">
      <t>フ</t>
    </rPh>
    <rPh sb="1" eb="2">
      <t>ショウ</t>
    </rPh>
    <phoneticPr fontId="2"/>
  </si>
  <si>
    <t>別会社</t>
    <rPh sb="0" eb="1">
      <t>ベツ</t>
    </rPh>
    <rPh sb="1" eb="3">
      <t>カイシャ</t>
    </rPh>
    <phoneticPr fontId="2"/>
  </si>
  <si>
    <t>3F2番(自習ブース)</t>
    <rPh sb="5" eb="7">
      <t>ジシュウ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</si>
</sst>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FF0000"/>
      <name val="游ゴシック"/>
      <family val="2"/>
      <charset val="128"/>
      <scheme val="minor"/>
    </font>
    <font>
      <sz val="8"/>
      <color rgb="FFFF0000"/>
      <name val="ＭＳ Ｐゴシック"/>
      <family val="2"/>
      <charset val="128"/>
    </font>
    <font>
      <sz val="8"/>
      <color rgb="FFFF0000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1"/>
      <color theme="1"/>
      <name val="游ゴシック"/>
      <family val="2"/>
      <charset val="128"/>
    </font>
    <font>
      <sz val="10"/>
      <color theme="1"/>
      <name val="游ゴシック"/>
      <family val="3"/>
      <charset val="128"/>
      <scheme val="minor"/>
    </font>
    <font>
      <sz val="6"/>
      <name val="游ゴシック"/>
      <family val="2"/>
      <charset val="128"/>
    </font>
    <font>
      <sz val="8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  <fill>
      <patternFill patternType="solid">
        <fgColor rgb="FFFFFF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1" fillId="3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0" borderId="0" xfId="0" applyFont="1" applyAlignment="1">
      <alignment horizontal="left" vertical="center" indent="1"/>
    </xf>
    <xf numFmtId="0" fontId="8" fillId="0" borderId="0" xfId="1" applyFont="1">
      <alignment vertical="center"/>
    </xf>
    <xf numFmtId="0" fontId="1" fillId="5" borderId="0" xfId="0" applyFont="1" applyFill="1">
      <alignment vertical="center"/>
    </xf>
    <xf numFmtId="0" fontId="10" fillId="0" borderId="0" xfId="0" applyFont="1">
      <alignment vertical="center"/>
    </xf>
    <xf numFmtId="0" fontId="8" fillId="6" borderId="2" xfId="1" applyFont="1" applyFill="1" applyBorder="1" applyAlignment="1">
      <alignment vertical="center" wrapText="1"/>
    </xf>
    <xf numFmtId="0" fontId="8" fillId="6" borderId="2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vertical="center" wrapText="1"/>
    </xf>
    <xf numFmtId="0" fontId="8" fillId="0" borderId="5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" xfId="2" applyFont="1" applyBorder="1" applyAlignment="1">
      <alignment vertical="center" wrapText="1"/>
    </xf>
    <xf numFmtId="0" fontId="8" fillId="0" borderId="2" xfId="2" applyFont="1" applyBorder="1" applyAlignment="1">
      <alignment vertical="center" wrapText="1"/>
    </xf>
    <xf numFmtId="0" fontId="8" fillId="0" borderId="2" xfId="2" applyFont="1" applyBorder="1" applyAlignment="1">
      <alignment horizontal="center" vertical="center" wrapText="1"/>
    </xf>
    <xf numFmtId="0" fontId="8" fillId="6" borderId="2" xfId="2" applyFont="1" applyFill="1" applyBorder="1" applyAlignment="1">
      <alignment horizontal="right" vertical="center" wrapText="1"/>
    </xf>
    <xf numFmtId="0" fontId="8" fillId="6" borderId="2" xfId="2" applyFont="1" applyFill="1" applyBorder="1" applyAlignment="1">
      <alignment vertical="center" wrapText="1"/>
    </xf>
    <xf numFmtId="0" fontId="8" fillId="6" borderId="2" xfId="2" applyFont="1" applyFill="1" applyBorder="1" applyAlignment="1">
      <alignment horizontal="center" vertical="center" wrapText="1"/>
    </xf>
    <xf numFmtId="0" fontId="8" fillId="6" borderId="3" xfId="2" applyFont="1" applyFill="1" applyBorder="1" applyAlignment="1">
      <alignment vertical="center" wrapText="1"/>
    </xf>
    <xf numFmtId="0" fontId="8" fillId="6" borderId="0" xfId="2" applyFont="1" applyFill="1" applyAlignment="1">
      <alignment vertical="center" wrapText="1"/>
    </xf>
    <xf numFmtId="0" fontId="8" fillId="0" borderId="0" xfId="2" applyFont="1" applyAlignment="1">
      <alignment vertical="center" wrapText="1"/>
    </xf>
    <xf numFmtId="0" fontId="8" fillId="0" borderId="4" xfId="2" applyFont="1" applyBorder="1">
      <alignment vertical="center"/>
    </xf>
    <xf numFmtId="0" fontId="8" fillId="0" borderId="5" xfId="2" applyFont="1" applyBorder="1">
      <alignment vertical="center"/>
    </xf>
    <xf numFmtId="0" fontId="8" fillId="4" borderId="5" xfId="2" applyFont="1" applyFill="1" applyBorder="1">
      <alignment vertical="center"/>
    </xf>
    <xf numFmtId="0" fontId="8" fillId="0" borderId="5" xfId="2" applyFont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0" xfId="2" applyFont="1">
      <alignment vertical="center"/>
    </xf>
    <xf numFmtId="0" fontId="8" fillId="0" borderId="4" xfId="2" applyFont="1" applyBorder="1" applyAlignment="1">
      <alignment vertical="center" wrapText="1"/>
    </xf>
    <xf numFmtId="0" fontId="8" fillId="4" borderId="5" xfId="2" applyFont="1" applyFill="1" applyBorder="1" applyAlignment="1">
      <alignment horizontal="center" vertical="center"/>
    </xf>
    <xf numFmtId="0" fontId="8" fillId="7" borderId="5" xfId="2" applyFont="1" applyFill="1" applyBorder="1" applyAlignment="1">
      <alignment horizontal="center" vertical="center"/>
    </xf>
    <xf numFmtId="0" fontId="8" fillId="0" borderId="7" xfId="2" applyFont="1" applyBorder="1" applyAlignment="1">
      <alignment vertical="center" wrapText="1"/>
    </xf>
    <xf numFmtId="0" fontId="8" fillId="0" borderId="8" xfId="2" applyFont="1" applyBorder="1">
      <alignment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8" fillId="4" borderId="0" xfId="2" applyFont="1" applyFill="1">
      <alignment vertical="center"/>
    </xf>
  </cellXfs>
  <cellStyles count="3">
    <cellStyle name="標準" xfId="0" builtinId="0"/>
    <cellStyle name="標準 2" xfId="1" xr:uid="{9EFB3B57-3A5B-4603-A838-B32BBFDB69C5}"/>
    <cellStyle name="標準 2 3" xfId="2" xr:uid="{914A659C-2DA0-4063-821C-6C9C15A5B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1517;&#22823;SKY\02&#12450;&#12531;&#12452;&#12531;&#12464;&#12522;&#12483;&#12471;&#12517;&#12463;&#12521;&#12502;&#65288;&#25945;&#26448;&#12539;&#12510;&#12491;&#12517;&#12450;&#12523;&#12539;&#22806;&#22269;&#20154;VISA&#12394;&#12393;&#65289;_&#37428;&#26408;\01-1&#12473;&#12465;&#12472;&#12517;&#12540;&#12523;\2016&#24180;&#24230;\&#12371;&#12428;&#12434;&#20351;&#29992;&#26032;&#12473;&#12465;&#12472;&#12517;&#12540;&#12523;201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1\share\Mayumi&#12364;&#20316;&#12387;&#12383;&#12471;&#12473;&#12486;&#12512;2\OZA&#12363;&#12425;&#12398;&#32102;&#19982;&#35336;&#31639;&#26360;\&#12304;&#26368;&#26032;&#12305;2021&#24180;4&#26376;&#20998;&#12363;&#12425;&#12399;&#12467;&#12524;&#12288;&#12450;&#12531;&#26085;&#26412;&#20154;&#35611;&#24107;&#32102;&#19982;&#30003;&#21578;&#26360;&#65288;2021.4&#25913;&#35330;&#65289;%20-%20&#12467;&#12500;&#1254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01\share\_&#9733;20170701&#20316;&#26989;&#29992;\58&#22478;&#30000;\&#12304;&#9733;&#32076;&#29702;&#38306;&#20418;&#12305;\&#9733;&#21517;&#22823;SKY\&#12304;&#26412;&#35336;&#31639;&#12305;&#12481;&#12455;&#12483;&#12463;\2023&#24180;&#24230;\4&#26376;\&#9733;&#26376;&#35613;&#30906;&#35469;&#29992;_&#19968;&#25324;DATA_&#26376;&#35613;&#12539;&#26376;&#20250;&#36027;&#12539;&#31354;&#35519;&#36027;&#30906;&#35469;2023031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9733;Oza%20New%20Plan\&#12304;&#21021;&#26399;&#23566;&#20837;&#12475;&#12483;&#12488;&#12305;\&#12450;&#12531;&#12501;&#12449;&#12531;\&#12304;&#12450;&#12531;&#12501;&#12449;&#12531;&#27096;&#12305;&#12510;&#12473;&#12479;&#38598;&#12288;&#23436;&#25104;&#29256;2019.6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クラスＩＤ12.29更新"/>
      <sheetName val="クラスＩＤ12.24更新"/>
      <sheetName val="クラスＩＤ12.22更新"/>
      <sheetName val="クラスＩＤ12.21更新1010"/>
      <sheetName val="12.29 HPアップ後修正した"/>
      <sheetName val="12.24 HPアップ用"/>
      <sheetName val="12.22改訂3版保護者用"/>
      <sheetName val="12.19改訂3版近郊校舎あり　保護者用"/>
      <sheetName val="12.17改訂3版近郊校舎あり　保護者用"/>
      <sheetName val="12.01改訂版近郊校舎あり　保護者用"/>
      <sheetName val="11.30改訂版近郊校舎あり　保護者用"/>
      <sheetName val="11.30改訂版　保護者用（申込方法付）"/>
      <sheetName val="11.26改訂版　保護者用（申込方法付）"/>
      <sheetName val="11.24改訂版　保護者用（申込方法付）"/>
      <sheetName val="11.4保護者用（申込方法付）"/>
      <sheetName val="11.4内部用 "/>
      <sheetName val="11.2保護者用（申込方法付）"/>
      <sheetName val="10.27保護者用（申込方法付）"/>
      <sheetName val="10.27保護者用"/>
      <sheetName val="10.27内部用"/>
      <sheetName val="10.26"/>
      <sheetName val="10.16会議使用"/>
      <sheetName val="2016作成10.26保留クラスあり (校舎4桁に変更"/>
      <sheetName val="2016作成10.13保留クラスあり (校舎4桁に変更)"/>
      <sheetName val="クラスＩＤ11.4更新"/>
      <sheetName val="2016作成10.8保留クラスあり"/>
      <sheetName val="2016作成中10.6"/>
      <sheetName val="2016作成中9.9"/>
      <sheetName val="2016作成中9.8"/>
      <sheetName val="グレード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M1" t="str">
            <v>曜日番号</v>
          </cell>
          <cell r="T1" t="str">
            <v>校舎ID</v>
          </cell>
          <cell r="U1" t="str">
            <v>校舎名</v>
          </cell>
          <cell r="X1" t="str">
            <v>グレードクラスID</v>
          </cell>
          <cell r="Y1" t="str">
            <v>クラス名</v>
          </cell>
        </row>
        <row r="2">
          <cell r="P2" t="str">
            <v>Pink</v>
          </cell>
          <cell r="Q2">
            <v>11</v>
          </cell>
          <cell r="S2" t="str">
            <v>11</v>
          </cell>
          <cell r="T2">
            <v>1011</v>
          </cell>
          <cell r="U2" t="str">
            <v>尾張旭校</v>
          </cell>
          <cell r="X2">
            <v>2160000</v>
          </cell>
          <cell r="Y2" t="str">
            <v>未登録</v>
          </cell>
        </row>
        <row r="3">
          <cell r="P3" t="str">
            <v>White</v>
          </cell>
          <cell r="Q3">
            <v>23</v>
          </cell>
          <cell r="S3" t="str">
            <v>12</v>
          </cell>
          <cell r="T3">
            <v>1012</v>
          </cell>
          <cell r="U3" t="str">
            <v>吉根校</v>
          </cell>
          <cell r="X3">
            <v>2160111</v>
          </cell>
          <cell r="Y3" t="str">
            <v>Pink-Baby Angel_ペア</v>
          </cell>
        </row>
        <row r="4">
          <cell r="P4" t="str">
            <v>Purple A　</v>
          </cell>
          <cell r="Q4">
            <v>24</v>
          </cell>
          <cell r="S4" t="str">
            <v>13</v>
          </cell>
          <cell r="T4">
            <v>1013</v>
          </cell>
          <cell r="U4" t="str">
            <v>小幡校</v>
          </cell>
          <cell r="X4">
            <v>2160112</v>
          </cell>
          <cell r="Y4" t="str">
            <v>Pink-Baby Angel_リレー</v>
          </cell>
        </row>
        <row r="5">
          <cell r="P5" t="str">
            <v>Yellow</v>
          </cell>
          <cell r="Q5">
            <v>33</v>
          </cell>
          <cell r="S5" t="str">
            <v>14</v>
          </cell>
          <cell r="T5">
            <v>1014</v>
          </cell>
          <cell r="U5" t="str">
            <v>喜多山校</v>
          </cell>
          <cell r="X5">
            <v>2160231</v>
          </cell>
          <cell r="Y5" t="str">
            <v>White-Apple_ペア</v>
          </cell>
        </row>
        <row r="6">
          <cell r="P6" t="str">
            <v>Red</v>
          </cell>
          <cell r="Q6">
            <v>38</v>
          </cell>
          <cell r="S6" t="str">
            <v>15</v>
          </cell>
          <cell r="T6">
            <v>1015</v>
          </cell>
          <cell r="U6" t="str">
            <v>名東本部校</v>
          </cell>
          <cell r="X6">
            <v>2160232</v>
          </cell>
          <cell r="Y6" t="str">
            <v>White-Apple_リレー</v>
          </cell>
        </row>
        <row r="7">
          <cell r="P7" t="str">
            <v>TOEICジュニア</v>
          </cell>
          <cell r="Q7">
            <v>74</v>
          </cell>
          <cell r="S7" t="str">
            <v>16</v>
          </cell>
          <cell r="T7">
            <v>1016</v>
          </cell>
          <cell r="U7" t="str">
            <v>本山校</v>
          </cell>
          <cell r="X7">
            <v>2160241</v>
          </cell>
          <cell r="Y7" t="str">
            <v>Purple-PurpleA_ペア</v>
          </cell>
        </row>
        <row r="8">
          <cell r="P8" t="str">
            <v>TOEIC</v>
          </cell>
          <cell r="Q8">
            <v>75</v>
          </cell>
          <cell r="S8" t="str">
            <v>18</v>
          </cell>
          <cell r="T8">
            <v>1018</v>
          </cell>
          <cell r="U8" t="str">
            <v>千種谷口校</v>
          </cell>
          <cell r="X8">
            <v>2160242</v>
          </cell>
          <cell r="Y8" t="str">
            <v>Purple-PurpleA_リレー</v>
          </cell>
        </row>
        <row r="9">
          <cell r="P9" t="str">
            <v>保留クラス</v>
          </cell>
          <cell r="Q9">
            <v>99</v>
          </cell>
          <cell r="S9" t="str">
            <v>19</v>
          </cell>
          <cell r="T9">
            <v>1019</v>
          </cell>
          <cell r="U9" t="str">
            <v>千種本部校</v>
          </cell>
          <cell r="X9">
            <v>2160331</v>
          </cell>
          <cell r="Y9" t="str">
            <v>Yellow-Pineapple_ペア</v>
          </cell>
        </row>
        <row r="10">
          <cell r="S10" t="str">
            <v>20</v>
          </cell>
          <cell r="T10">
            <v>1020</v>
          </cell>
          <cell r="U10" t="str">
            <v>植田西校</v>
          </cell>
          <cell r="X10">
            <v>2160332</v>
          </cell>
          <cell r="Y10" t="str">
            <v>Yellow-Pineapple_リレー</v>
          </cell>
        </row>
        <row r="11">
          <cell r="S11" t="str">
            <v>21</v>
          </cell>
          <cell r="T11">
            <v>1021</v>
          </cell>
          <cell r="U11" t="str">
            <v>豊明三崎校</v>
          </cell>
          <cell r="X11">
            <v>2160381</v>
          </cell>
          <cell r="Y11" t="str">
            <v>Red-Crab_ペア</v>
          </cell>
        </row>
        <row r="12">
          <cell r="S12" t="str">
            <v>22</v>
          </cell>
          <cell r="T12">
            <v>1022</v>
          </cell>
          <cell r="U12" t="str">
            <v>三郷校</v>
          </cell>
          <cell r="X12">
            <v>2160382</v>
          </cell>
          <cell r="Y12" t="str">
            <v>Red-Crab_リレー</v>
          </cell>
        </row>
        <row r="13">
          <cell r="S13" t="str">
            <v>23</v>
          </cell>
          <cell r="T13">
            <v>1023</v>
          </cell>
          <cell r="U13" t="str">
            <v>瀬戸山口校</v>
          </cell>
          <cell r="X13">
            <v>2160741</v>
          </cell>
          <cell r="Y13" t="str">
            <v>TOEICジュニア_ペア</v>
          </cell>
        </row>
        <row r="14">
          <cell r="S14" t="str">
            <v>24</v>
          </cell>
          <cell r="T14">
            <v>1024</v>
          </cell>
          <cell r="U14" t="str">
            <v>四軒家校</v>
          </cell>
          <cell r="X14">
            <v>2160742</v>
          </cell>
          <cell r="Y14" t="str">
            <v>TOEICジュニア_リレー</v>
          </cell>
        </row>
        <row r="15">
          <cell r="S15" t="str">
            <v>25</v>
          </cell>
          <cell r="T15">
            <v>1025</v>
          </cell>
          <cell r="U15" t="str">
            <v>新守山校</v>
          </cell>
          <cell r="X15">
            <v>2160751</v>
          </cell>
          <cell r="Y15" t="str">
            <v>TOEIC_ペア</v>
          </cell>
        </row>
        <row r="16">
          <cell r="S16" t="str">
            <v>26</v>
          </cell>
          <cell r="T16">
            <v>1026</v>
          </cell>
          <cell r="U16" t="str">
            <v>津島校</v>
          </cell>
          <cell r="X16">
            <v>2160752</v>
          </cell>
          <cell r="Y16" t="str">
            <v>TOEIC_リレー</v>
          </cell>
        </row>
        <row r="17">
          <cell r="S17" t="str">
            <v>27</v>
          </cell>
          <cell r="T17">
            <v>1027</v>
          </cell>
          <cell r="U17" t="str">
            <v>相生山校</v>
          </cell>
          <cell r="X17">
            <v>2160981</v>
          </cell>
          <cell r="Y17" t="str">
            <v>Lepton</v>
          </cell>
        </row>
        <row r="18">
          <cell r="S18" t="str">
            <v>28</v>
          </cell>
          <cell r="T18">
            <v>1028</v>
          </cell>
          <cell r="U18" t="str">
            <v>甚目寺校</v>
          </cell>
        </row>
        <row r="19">
          <cell r="S19" t="str">
            <v>29</v>
          </cell>
          <cell r="T19">
            <v>1029</v>
          </cell>
          <cell r="U19" t="str">
            <v>瀬戸本部校</v>
          </cell>
        </row>
        <row r="20">
          <cell r="S20" t="str">
            <v>30</v>
          </cell>
          <cell r="T20">
            <v>1030</v>
          </cell>
          <cell r="U20" t="str">
            <v>瀬戸品野校</v>
          </cell>
        </row>
        <row r="21">
          <cell r="S21" t="str">
            <v>31</v>
          </cell>
          <cell r="T21">
            <v>1031</v>
          </cell>
          <cell r="U21" t="str">
            <v>春日井駅前校</v>
          </cell>
        </row>
        <row r="22">
          <cell r="S22" t="str">
            <v>32</v>
          </cell>
          <cell r="T22">
            <v>1032</v>
          </cell>
          <cell r="U22" t="str">
            <v>守山本部校</v>
          </cell>
        </row>
        <row r="23">
          <cell r="S23" t="str">
            <v>33</v>
          </cell>
          <cell r="T23">
            <v>1033</v>
          </cell>
          <cell r="U23" t="str">
            <v>小牧西校</v>
          </cell>
        </row>
        <row r="24">
          <cell r="S24" t="str">
            <v>35</v>
          </cell>
          <cell r="T24">
            <v>1035</v>
          </cell>
          <cell r="U24" t="str">
            <v>島田橋西校</v>
          </cell>
        </row>
        <row r="25">
          <cell r="S25" t="str">
            <v>36</v>
          </cell>
          <cell r="T25">
            <v>1036</v>
          </cell>
          <cell r="U25" t="str">
            <v>清水駅前校</v>
          </cell>
        </row>
        <row r="26">
          <cell r="S26" t="str">
            <v>39</v>
          </cell>
          <cell r="T26">
            <v>1039</v>
          </cell>
          <cell r="U26" t="str">
            <v>一宮千秋校</v>
          </cell>
        </row>
        <row r="27">
          <cell r="S27" t="str">
            <v>40</v>
          </cell>
          <cell r="T27">
            <v>1040</v>
          </cell>
          <cell r="U27" t="str">
            <v>前後校</v>
          </cell>
        </row>
        <row r="28">
          <cell r="S28" t="str">
            <v>41</v>
          </cell>
          <cell r="T28">
            <v>1041</v>
          </cell>
          <cell r="U28" t="str">
            <v>あま本部校</v>
          </cell>
        </row>
        <row r="29">
          <cell r="S29" t="str">
            <v>43</v>
          </cell>
          <cell r="T29">
            <v>1043</v>
          </cell>
          <cell r="U29" t="str">
            <v>平針校</v>
          </cell>
        </row>
        <row r="30">
          <cell r="S30" t="str">
            <v>44</v>
          </cell>
          <cell r="T30">
            <v>1044</v>
          </cell>
          <cell r="U30" t="str">
            <v>守山金屋校</v>
          </cell>
        </row>
        <row r="31">
          <cell r="S31" t="str">
            <v>45</v>
          </cell>
          <cell r="T31">
            <v>1045</v>
          </cell>
          <cell r="U31" t="str">
            <v>瑞穂陽明校</v>
          </cell>
        </row>
        <row r="32">
          <cell r="S32" t="str">
            <v>46</v>
          </cell>
          <cell r="T32">
            <v>1046</v>
          </cell>
          <cell r="U32" t="str">
            <v>佐古木校</v>
          </cell>
        </row>
        <row r="33">
          <cell r="S33" t="str">
            <v>47</v>
          </cell>
          <cell r="T33">
            <v>1047</v>
          </cell>
          <cell r="U33" t="str">
            <v>味鋺校</v>
          </cell>
        </row>
        <row r="34">
          <cell r="S34" t="str">
            <v>48</v>
          </cell>
          <cell r="T34">
            <v>1048</v>
          </cell>
          <cell r="U34" t="str">
            <v>南本町校</v>
          </cell>
        </row>
        <row r="35">
          <cell r="S35" t="str">
            <v>49</v>
          </cell>
          <cell r="T35">
            <v>1049</v>
          </cell>
          <cell r="U35" t="str">
            <v>蟹江校</v>
          </cell>
        </row>
        <row r="36">
          <cell r="S36" t="str">
            <v>50</v>
          </cell>
          <cell r="T36">
            <v>1050</v>
          </cell>
          <cell r="U36" t="str">
            <v>清洲校</v>
          </cell>
        </row>
        <row r="37">
          <cell r="S37" t="str">
            <v>51</v>
          </cell>
          <cell r="T37">
            <v>1051</v>
          </cell>
          <cell r="U37" t="str">
            <v>弥富校</v>
          </cell>
        </row>
        <row r="38">
          <cell r="S38" t="str">
            <v>53</v>
          </cell>
          <cell r="T38">
            <v>1053</v>
          </cell>
          <cell r="U38" t="str">
            <v>東郷校</v>
          </cell>
        </row>
        <row r="39">
          <cell r="S39" t="str">
            <v>97</v>
          </cell>
          <cell r="T39">
            <v>1097</v>
          </cell>
          <cell r="U39" t="str">
            <v>栄光八事幼稚園</v>
          </cell>
        </row>
        <row r="40">
          <cell r="S40" t="str">
            <v>98</v>
          </cell>
          <cell r="T40">
            <v>1098</v>
          </cell>
          <cell r="U40" t="str">
            <v>ウィッツ青山学園高等学校</v>
          </cell>
        </row>
        <row r="41">
          <cell r="S41" t="str">
            <v>81</v>
          </cell>
          <cell r="T41">
            <v>2081</v>
          </cell>
          <cell r="U41" t="str">
            <v>須田塾岐阜本部校</v>
          </cell>
        </row>
        <row r="42">
          <cell r="S42" t="str">
            <v>82</v>
          </cell>
          <cell r="T42">
            <v>2082</v>
          </cell>
          <cell r="U42" t="str">
            <v>須田塾岩田校</v>
          </cell>
        </row>
        <row r="43">
          <cell r="S43" t="str">
            <v>71</v>
          </cell>
          <cell r="T43">
            <v>3071</v>
          </cell>
          <cell r="U43" t="str">
            <v>メプレス</v>
          </cell>
        </row>
        <row r="44">
          <cell r="S44" t="str">
            <v>73</v>
          </cell>
          <cell r="T44">
            <v>4073</v>
          </cell>
          <cell r="U44" t="str">
            <v>可児本部教室</v>
          </cell>
        </row>
        <row r="45">
          <cell r="S45" t="str">
            <v>74</v>
          </cell>
          <cell r="T45">
            <v>4074</v>
          </cell>
          <cell r="U45" t="str">
            <v>可児今渡教室</v>
          </cell>
        </row>
        <row r="46">
          <cell r="S46" t="str">
            <v>75</v>
          </cell>
          <cell r="T46">
            <v>4075</v>
          </cell>
          <cell r="U46" t="str">
            <v>西可児駅前教室</v>
          </cell>
        </row>
        <row r="47">
          <cell r="S47" t="str">
            <v>76</v>
          </cell>
          <cell r="T47">
            <v>4076</v>
          </cell>
          <cell r="U47" t="str">
            <v>美濃太田駅前教室</v>
          </cell>
        </row>
        <row r="48">
          <cell r="S48" t="str">
            <v>77</v>
          </cell>
          <cell r="T48">
            <v>4077</v>
          </cell>
          <cell r="U48" t="str">
            <v>関富岡教室</v>
          </cell>
        </row>
        <row r="49">
          <cell r="S49" t="str">
            <v>99</v>
          </cell>
          <cell r="T49">
            <v>9999</v>
          </cell>
          <cell r="U49" t="str">
            <v>　</v>
          </cell>
        </row>
        <row r="50">
          <cell r="S50" t="str">
            <v>54</v>
          </cell>
          <cell r="T50">
            <v>1054</v>
          </cell>
          <cell r="U50" t="str">
            <v>丸一校</v>
          </cell>
        </row>
        <row r="51">
          <cell r="S51" t="str">
            <v>55</v>
          </cell>
          <cell r="T51">
            <v>1055</v>
          </cell>
          <cell r="U51" t="str">
            <v>瑞穂豊岡校</v>
          </cell>
        </row>
        <row r="52">
          <cell r="S52" t="str">
            <v>56</v>
          </cell>
          <cell r="T52">
            <v>1056</v>
          </cell>
          <cell r="U52" t="str">
            <v>扶桑校</v>
          </cell>
        </row>
      </sheetData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アン"/>
      <sheetName val="関数"/>
      <sheetName val="クラス基本情報(最新)"/>
      <sheetName val="Sheet1"/>
    </sheetNames>
    <sheetDataSet>
      <sheetData sheetId="0"/>
      <sheetData sheetId="1">
        <row r="2">
          <cell r="A2" t="str">
            <v>○</v>
          </cell>
          <cell r="C2" t="str">
            <v>P</v>
          </cell>
          <cell r="D2" t="str">
            <v>PI</v>
          </cell>
          <cell r="E2" t="str">
            <v>Pink</v>
          </cell>
          <cell r="F2">
            <v>30</v>
          </cell>
          <cell r="CI2">
            <v>0.375</v>
          </cell>
          <cell r="CK2" t="str">
            <v>美濃太</v>
          </cell>
          <cell r="CM2" t="str">
            <v>月</v>
          </cell>
        </row>
        <row r="3">
          <cell r="A3" t="str">
            <v>待機</v>
          </cell>
          <cell r="C3" t="str">
            <v>R</v>
          </cell>
          <cell r="D3" t="str">
            <v>PU</v>
          </cell>
          <cell r="E3" t="str">
            <v>Purple</v>
          </cell>
          <cell r="F3">
            <v>50</v>
          </cell>
          <cell r="CI3">
            <v>0.37847222222222227</v>
          </cell>
          <cell r="CK3" t="str">
            <v>西可児</v>
          </cell>
          <cell r="CM3" t="str">
            <v>火</v>
          </cell>
        </row>
        <row r="4">
          <cell r="A4" t="str">
            <v>保証</v>
          </cell>
          <cell r="C4" t="str">
            <v>RP</v>
          </cell>
          <cell r="D4" t="str">
            <v>RE</v>
          </cell>
          <cell r="E4" t="str">
            <v>Red</v>
          </cell>
          <cell r="F4">
            <v>50</v>
          </cell>
          <cell r="CI4">
            <v>0.38125000000000003</v>
          </cell>
          <cell r="CK4" t="str">
            <v>可児今</v>
          </cell>
          <cell r="CM4" t="str">
            <v>水</v>
          </cell>
        </row>
        <row r="5">
          <cell r="D5" t="str">
            <v>EA</v>
          </cell>
          <cell r="E5" t="str">
            <v>英会話A</v>
          </cell>
          <cell r="F5">
            <v>50</v>
          </cell>
          <cell r="CI5">
            <v>0.38541666666666669</v>
          </cell>
          <cell r="CK5" t="str">
            <v>東郷校</v>
          </cell>
          <cell r="CM5" t="str">
            <v>木</v>
          </cell>
        </row>
        <row r="6">
          <cell r="D6" t="str">
            <v>EB</v>
          </cell>
          <cell r="E6" t="str">
            <v>英会話B</v>
          </cell>
          <cell r="F6">
            <v>50</v>
          </cell>
          <cell r="CI6">
            <v>0.3888888888888889</v>
          </cell>
          <cell r="CK6" t="str">
            <v>弥富校</v>
          </cell>
          <cell r="CM6" t="str">
            <v>金</v>
          </cell>
        </row>
        <row r="7">
          <cell r="D7" t="str">
            <v>WH</v>
          </cell>
          <cell r="E7" t="str">
            <v>White</v>
          </cell>
          <cell r="F7">
            <v>40</v>
          </cell>
          <cell r="J7">
            <v>80</v>
          </cell>
          <cell r="K7">
            <v>2109</v>
          </cell>
          <cell r="L7">
            <v>2642</v>
          </cell>
          <cell r="CI7">
            <v>0.3923611111111111</v>
          </cell>
          <cell r="CK7" t="str">
            <v>清洲校</v>
          </cell>
          <cell r="CM7" t="str">
            <v>土</v>
          </cell>
        </row>
        <row r="8">
          <cell r="D8" t="str">
            <v>YE</v>
          </cell>
          <cell r="E8" t="str">
            <v>Yellow</v>
          </cell>
          <cell r="F8">
            <v>50</v>
          </cell>
          <cell r="J8">
            <v>90</v>
          </cell>
          <cell r="K8">
            <v>2275</v>
          </cell>
          <cell r="L8">
            <v>2875</v>
          </cell>
          <cell r="CI8">
            <v>0.39583333333333331</v>
          </cell>
          <cell r="CK8" t="str">
            <v>蟹江校</v>
          </cell>
          <cell r="CM8" t="str">
            <v>日</v>
          </cell>
        </row>
        <row r="9">
          <cell r="J9">
            <v>100</v>
          </cell>
          <cell r="K9">
            <v>2442</v>
          </cell>
          <cell r="L9">
            <v>3109</v>
          </cell>
          <cell r="CI9">
            <v>0.39930555555555558</v>
          </cell>
          <cell r="CK9" t="str">
            <v>南本町</v>
          </cell>
        </row>
        <row r="10">
          <cell r="J10">
            <v>110</v>
          </cell>
          <cell r="K10">
            <v>2609</v>
          </cell>
          <cell r="L10">
            <v>3342</v>
          </cell>
          <cell r="CI10">
            <v>0.40277777777777773</v>
          </cell>
          <cell r="CK10" t="str">
            <v>味鋺校</v>
          </cell>
        </row>
        <row r="11">
          <cell r="J11">
            <v>120</v>
          </cell>
          <cell r="K11">
            <v>2775</v>
          </cell>
          <cell r="L11">
            <v>3575</v>
          </cell>
          <cell r="CI11">
            <v>0.40625</v>
          </cell>
          <cell r="CK11" t="str">
            <v>佐古木</v>
          </cell>
        </row>
        <row r="12">
          <cell r="J12">
            <v>130</v>
          </cell>
          <cell r="K12">
            <v>2942</v>
          </cell>
          <cell r="L12">
            <v>3809</v>
          </cell>
          <cell r="CI12">
            <v>0.40972222222222227</v>
          </cell>
          <cell r="CK12" t="str">
            <v>守山本</v>
          </cell>
        </row>
        <row r="13">
          <cell r="J13">
            <v>140</v>
          </cell>
          <cell r="K13">
            <v>3109</v>
          </cell>
          <cell r="L13">
            <v>4042</v>
          </cell>
          <cell r="CI13">
            <v>0.41319444444444442</v>
          </cell>
          <cell r="CK13" t="str">
            <v>金屋校</v>
          </cell>
        </row>
        <row r="14">
          <cell r="J14">
            <v>150</v>
          </cell>
          <cell r="K14">
            <v>3275</v>
          </cell>
          <cell r="L14">
            <v>4275</v>
          </cell>
          <cell r="CI14">
            <v>0.41666666666665902</v>
          </cell>
          <cell r="CK14" t="str">
            <v>本山校</v>
          </cell>
        </row>
        <row r="15">
          <cell r="A15">
            <v>3500</v>
          </cell>
          <cell r="C15">
            <v>930</v>
          </cell>
          <cell r="E15">
            <v>2019</v>
          </cell>
          <cell r="F15">
            <v>1</v>
          </cell>
          <cell r="J15">
            <v>160</v>
          </cell>
          <cell r="K15">
            <v>3442</v>
          </cell>
          <cell r="L15">
            <v>4509</v>
          </cell>
          <cell r="CI15">
            <v>0.42013888888888101</v>
          </cell>
          <cell r="CK15" t="str">
            <v>名東本</v>
          </cell>
        </row>
        <row r="16">
          <cell r="A16">
            <v>4250</v>
          </cell>
          <cell r="E16">
            <v>2020</v>
          </cell>
          <cell r="F16">
            <v>2</v>
          </cell>
          <cell r="J16">
            <v>170</v>
          </cell>
          <cell r="K16">
            <v>3609</v>
          </cell>
          <cell r="L16">
            <v>4742</v>
          </cell>
          <cell r="CI16">
            <v>0.423611111111103</v>
          </cell>
          <cell r="CK16" t="str">
            <v>陽明校</v>
          </cell>
        </row>
        <row r="17">
          <cell r="A17">
            <v>5000</v>
          </cell>
          <cell r="E17">
            <v>2021</v>
          </cell>
          <cell r="F17">
            <v>3</v>
          </cell>
          <cell r="J17">
            <v>180</v>
          </cell>
          <cell r="K17">
            <v>3775</v>
          </cell>
          <cell r="L17">
            <v>4975</v>
          </cell>
          <cell r="CI17">
            <v>0.42708333333332499</v>
          </cell>
          <cell r="CK17" t="str">
            <v>平針校</v>
          </cell>
        </row>
        <row r="18">
          <cell r="A18">
            <v>6000</v>
          </cell>
          <cell r="E18">
            <v>2022</v>
          </cell>
          <cell r="F18">
            <v>4</v>
          </cell>
          <cell r="J18">
            <v>190</v>
          </cell>
          <cell r="K18">
            <v>3942</v>
          </cell>
          <cell r="L18">
            <v>5209</v>
          </cell>
          <cell r="CI18">
            <v>0.43055555555554698</v>
          </cell>
          <cell r="CK18" t="str">
            <v>豊明三</v>
          </cell>
        </row>
        <row r="19">
          <cell r="A19">
            <v>6800</v>
          </cell>
          <cell r="E19">
            <v>2023</v>
          </cell>
          <cell r="F19">
            <v>5</v>
          </cell>
          <cell r="J19">
            <v>200</v>
          </cell>
          <cell r="K19">
            <v>4109</v>
          </cell>
          <cell r="L19">
            <v>5442</v>
          </cell>
          <cell r="CI19">
            <v>0.43402777777776902</v>
          </cell>
          <cell r="CK19" t="str">
            <v>津島校</v>
          </cell>
        </row>
        <row r="20">
          <cell r="E20">
            <v>2024</v>
          </cell>
          <cell r="F20">
            <v>6</v>
          </cell>
          <cell r="J20">
            <v>210</v>
          </cell>
          <cell r="K20">
            <v>4275</v>
          </cell>
          <cell r="L20">
            <v>5675</v>
          </cell>
          <cell r="CI20">
            <v>0.43749999999999101</v>
          </cell>
          <cell r="CK20" t="str">
            <v>千種本</v>
          </cell>
        </row>
        <row r="21">
          <cell r="E21">
            <v>2025</v>
          </cell>
          <cell r="F21">
            <v>7</v>
          </cell>
          <cell r="J21">
            <v>220</v>
          </cell>
          <cell r="K21">
            <v>4442</v>
          </cell>
          <cell r="L21">
            <v>5909</v>
          </cell>
          <cell r="CI21">
            <v>0.440972222222212</v>
          </cell>
          <cell r="CK21" t="str">
            <v>谷口校</v>
          </cell>
        </row>
        <row r="22">
          <cell r="E22">
            <v>2026</v>
          </cell>
          <cell r="F22">
            <v>8</v>
          </cell>
          <cell r="J22">
            <v>230</v>
          </cell>
          <cell r="K22">
            <v>4609</v>
          </cell>
          <cell r="L22">
            <v>6142</v>
          </cell>
          <cell r="CI22">
            <v>0.44444444444443398</v>
          </cell>
          <cell r="CK22" t="str">
            <v>相生山</v>
          </cell>
        </row>
        <row r="23">
          <cell r="E23">
            <v>2027</v>
          </cell>
          <cell r="F23">
            <v>9</v>
          </cell>
          <cell r="J23">
            <v>240</v>
          </cell>
          <cell r="K23">
            <v>4775</v>
          </cell>
          <cell r="L23">
            <v>6375</v>
          </cell>
          <cell r="CI23">
            <v>0.44791666666665603</v>
          </cell>
          <cell r="CK23" t="str">
            <v>前後校</v>
          </cell>
        </row>
        <row r="24">
          <cell r="E24">
            <v>2028</v>
          </cell>
          <cell r="F24">
            <v>10</v>
          </cell>
          <cell r="J24">
            <v>250</v>
          </cell>
          <cell r="K24">
            <v>4942</v>
          </cell>
          <cell r="L24">
            <v>6609</v>
          </cell>
          <cell r="CI24">
            <v>0.45138888888887801</v>
          </cell>
          <cell r="CK24" t="str">
            <v>瀬戸山</v>
          </cell>
        </row>
        <row r="25">
          <cell r="F25">
            <v>11</v>
          </cell>
          <cell r="J25">
            <v>260</v>
          </cell>
          <cell r="K25">
            <v>5109</v>
          </cell>
          <cell r="L25">
            <v>6842</v>
          </cell>
          <cell r="CI25">
            <v>0.4548611111111</v>
          </cell>
          <cell r="CK25" t="str">
            <v>瀬戸本</v>
          </cell>
        </row>
        <row r="26">
          <cell r="F26">
            <v>12</v>
          </cell>
          <cell r="J26">
            <v>270</v>
          </cell>
          <cell r="K26">
            <v>5275</v>
          </cell>
          <cell r="L26">
            <v>7075</v>
          </cell>
          <cell r="CI26">
            <v>0.45833333333332199</v>
          </cell>
          <cell r="CK26" t="str">
            <v>岐阜本</v>
          </cell>
        </row>
        <row r="27">
          <cell r="A27" t="str">
            <v>春期トレーニング</v>
          </cell>
          <cell r="J27">
            <v>280</v>
          </cell>
          <cell r="K27">
            <v>5442</v>
          </cell>
          <cell r="L27">
            <v>7309</v>
          </cell>
          <cell r="CI27">
            <v>0.46180555555554398</v>
          </cell>
          <cell r="CK27" t="str">
            <v>岩田校</v>
          </cell>
        </row>
        <row r="28">
          <cell r="A28" t="str">
            <v>demo</v>
          </cell>
          <cell r="J28">
            <v>290</v>
          </cell>
          <cell r="K28">
            <v>5609</v>
          </cell>
          <cell r="L28">
            <v>7542</v>
          </cell>
          <cell r="CI28">
            <v>0.46527777777776602</v>
          </cell>
          <cell r="CK28" t="str">
            <v>新守山</v>
          </cell>
        </row>
        <row r="29">
          <cell r="J29">
            <v>300</v>
          </cell>
          <cell r="K29">
            <v>5775</v>
          </cell>
          <cell r="L29">
            <v>7775</v>
          </cell>
          <cell r="CI29">
            <v>0.46874999999998801</v>
          </cell>
          <cell r="CK29" t="str">
            <v>甚目寺</v>
          </cell>
        </row>
        <row r="30">
          <cell r="J30">
            <v>310</v>
          </cell>
          <cell r="K30">
            <v>5942</v>
          </cell>
          <cell r="L30">
            <v>8009</v>
          </cell>
          <cell r="CI30">
            <v>0.47222222222221</v>
          </cell>
          <cell r="CK30" t="str">
            <v>島田橋</v>
          </cell>
        </row>
        <row r="31">
          <cell r="J31">
            <v>320</v>
          </cell>
          <cell r="K31">
            <v>6109</v>
          </cell>
          <cell r="L31">
            <v>8242</v>
          </cell>
          <cell r="CI31">
            <v>0.47569444444443199</v>
          </cell>
          <cell r="CK31" t="str">
            <v>四軒家</v>
          </cell>
        </row>
        <row r="32">
          <cell r="J32">
            <v>330</v>
          </cell>
          <cell r="K32">
            <v>6275</v>
          </cell>
          <cell r="L32">
            <v>8475</v>
          </cell>
          <cell r="CI32">
            <v>0.47916666666665397</v>
          </cell>
          <cell r="CK32" t="str">
            <v>三郷校</v>
          </cell>
        </row>
        <row r="33">
          <cell r="J33">
            <v>340</v>
          </cell>
          <cell r="K33">
            <v>6442</v>
          </cell>
          <cell r="L33">
            <v>8709</v>
          </cell>
          <cell r="CI33">
            <v>0.48263888888887602</v>
          </cell>
          <cell r="CK33" t="str">
            <v>小牧西</v>
          </cell>
        </row>
        <row r="34">
          <cell r="A34" t="str">
            <v>アン会議（1on1）</v>
          </cell>
          <cell r="J34">
            <v>350</v>
          </cell>
          <cell r="K34">
            <v>6609</v>
          </cell>
          <cell r="L34">
            <v>8942</v>
          </cell>
          <cell r="CI34">
            <v>0.486111111111098</v>
          </cell>
          <cell r="CK34" t="str">
            <v>吉根校</v>
          </cell>
        </row>
        <row r="35">
          <cell r="A35" t="str">
            <v>アン会議【ZOOM配信】</v>
          </cell>
          <cell r="J35">
            <v>360</v>
          </cell>
          <cell r="L35" t="e">
            <v>#REF!</v>
          </cell>
          <cell r="CI35">
            <v>0.48958333333331999</v>
          </cell>
          <cell r="CK35" t="str">
            <v>喜多山</v>
          </cell>
        </row>
        <row r="36">
          <cell r="A36" t="str">
            <v>クラスサポート　午前</v>
          </cell>
          <cell r="J36">
            <v>370</v>
          </cell>
          <cell r="L36" t="e">
            <v>#REF!</v>
          </cell>
          <cell r="CI36">
            <v>0.49305555555554198</v>
          </cell>
          <cell r="CK36" t="str">
            <v>春日井</v>
          </cell>
        </row>
        <row r="37">
          <cell r="A37" t="str">
            <v>クラスサポート　午後</v>
          </cell>
          <cell r="J37">
            <v>380</v>
          </cell>
          <cell r="L37" t="e">
            <v>#REF!</v>
          </cell>
          <cell r="CI37">
            <v>0.49652777777776402</v>
          </cell>
          <cell r="CK37" t="str">
            <v>尾張旭</v>
          </cell>
        </row>
        <row r="38">
          <cell r="A38" t="str">
            <v>実地研修</v>
          </cell>
          <cell r="J38">
            <v>390</v>
          </cell>
          <cell r="L38" t="e">
            <v>#REF!</v>
          </cell>
          <cell r="CI38">
            <v>0.49999999999998601</v>
          </cell>
          <cell r="CK38" t="str">
            <v>小幡校</v>
          </cell>
        </row>
        <row r="39">
          <cell r="A39" t="str">
            <v>春期トレーニング</v>
          </cell>
          <cell r="J39">
            <v>400</v>
          </cell>
          <cell r="L39" t="e">
            <v>#REF!</v>
          </cell>
          <cell r="CI39">
            <v>0.503472222222208</v>
          </cell>
          <cell r="CK39" t="str">
            <v>一宮千</v>
          </cell>
        </row>
        <row r="40">
          <cell r="A40" t="str">
            <v>学習発表会1時間前出勤</v>
          </cell>
          <cell r="J40">
            <v>410</v>
          </cell>
          <cell r="L40" t="e">
            <v>#REF!</v>
          </cell>
          <cell r="CI40">
            <v>0.50694444444442999</v>
          </cell>
          <cell r="CK40" t="str">
            <v>あま本</v>
          </cell>
        </row>
        <row r="41">
          <cell r="A41" t="str">
            <v>年度初回授業1時間前出勤</v>
          </cell>
          <cell r="J41">
            <v>420</v>
          </cell>
          <cell r="L41" t="e">
            <v>#REF!</v>
          </cell>
          <cell r="CI41">
            <v>0.51041666666665197</v>
          </cell>
          <cell r="CK41" t="str">
            <v>豊山校</v>
          </cell>
        </row>
        <row r="42">
          <cell r="A42" t="str">
            <v>その他</v>
          </cell>
          <cell r="J42">
            <v>430</v>
          </cell>
          <cell r="L42" t="e">
            <v>#REF!</v>
          </cell>
          <cell r="CI42">
            <v>0.51388888888887396</v>
          </cell>
          <cell r="CK42" t="str">
            <v>稲沢校</v>
          </cell>
        </row>
        <row r="43">
          <cell r="J43">
            <v>440</v>
          </cell>
          <cell r="L43" t="e">
            <v>#REF!</v>
          </cell>
          <cell r="CI43">
            <v>0.51736111111109595</v>
          </cell>
          <cell r="CK43" t="str">
            <v>愛西本</v>
          </cell>
        </row>
        <row r="44">
          <cell r="J44">
            <v>450</v>
          </cell>
          <cell r="K44" t="e">
            <v>#REF!</v>
          </cell>
          <cell r="L44" t="e">
            <v>#REF!</v>
          </cell>
          <cell r="CI44">
            <v>0.52083333333331805</v>
          </cell>
          <cell r="CK44" t="str">
            <v>野並校</v>
          </cell>
        </row>
        <row r="45">
          <cell r="J45">
            <v>460</v>
          </cell>
          <cell r="K45" t="e">
            <v>#REF!</v>
          </cell>
          <cell r="L45" t="e">
            <v>#REF!</v>
          </cell>
          <cell r="CI45">
            <v>0.52430555555554004</v>
          </cell>
          <cell r="CK45" t="str">
            <v>多治見</v>
          </cell>
        </row>
        <row r="46">
          <cell r="CI46">
            <v>0.52777777777776202</v>
          </cell>
          <cell r="CK46" t="str">
            <v>扶桑校</v>
          </cell>
        </row>
        <row r="47">
          <cell r="CI47">
            <v>0.53124999999998401</v>
          </cell>
          <cell r="CK47" t="str">
            <v>豊岡校</v>
          </cell>
        </row>
        <row r="48">
          <cell r="CI48">
            <v>0.534722222222206</v>
          </cell>
          <cell r="CK48" t="str">
            <v>丸一校</v>
          </cell>
        </row>
        <row r="49">
          <cell r="CI49">
            <v>0.53819444444442799</v>
          </cell>
          <cell r="CK49" t="str">
            <v>可児本</v>
          </cell>
        </row>
        <row r="50">
          <cell r="CI50">
            <v>0.54166666666664998</v>
          </cell>
          <cell r="CK50" t="str">
            <v>犬山校</v>
          </cell>
        </row>
        <row r="51">
          <cell r="CI51">
            <v>0.54513888888887196</v>
          </cell>
          <cell r="CK51" t="str">
            <v>鵜沼校</v>
          </cell>
        </row>
        <row r="52">
          <cell r="CI52">
            <v>0.54861111111109395</v>
          </cell>
          <cell r="CK52" t="str">
            <v>伏屋校</v>
          </cell>
        </row>
        <row r="53">
          <cell r="CI53">
            <v>0.55208333333331605</v>
          </cell>
          <cell r="CK53" t="str">
            <v>清水校</v>
          </cell>
        </row>
        <row r="54">
          <cell r="CI54">
            <v>0.55555555555553804</v>
          </cell>
          <cell r="CK54" t="str">
            <v>二重堀</v>
          </cell>
        </row>
        <row r="55">
          <cell r="CI55">
            <v>0.55902777777776003</v>
          </cell>
          <cell r="CK55" t="str">
            <v>枇杷島</v>
          </cell>
        </row>
        <row r="56">
          <cell r="CI56">
            <v>0.56249999999998201</v>
          </cell>
          <cell r="CK56" t="str">
            <v>白鳳校</v>
          </cell>
        </row>
        <row r="57">
          <cell r="CI57">
            <v>0.565972222222204</v>
          </cell>
          <cell r="CK57" t="str">
            <v>坂下校</v>
          </cell>
        </row>
        <row r="58">
          <cell r="CI58">
            <v>0.56944444444442599</v>
          </cell>
        </row>
        <row r="59">
          <cell r="CI59">
            <v>0.57291666666664798</v>
          </cell>
        </row>
        <row r="60">
          <cell r="CI60">
            <v>0.57638888888886997</v>
          </cell>
        </row>
        <row r="61">
          <cell r="CI61">
            <v>0.57986111111109195</v>
          </cell>
        </row>
        <row r="62">
          <cell r="CI62">
            <v>0.58333333333331405</v>
          </cell>
        </row>
        <row r="63">
          <cell r="CI63">
            <v>0.58680555555553604</v>
          </cell>
        </row>
        <row r="64">
          <cell r="CI64">
            <v>0.59027777777775803</v>
          </cell>
        </row>
        <row r="65">
          <cell r="CI65">
            <v>0.59374999999998002</v>
          </cell>
        </row>
        <row r="66">
          <cell r="CI66">
            <v>0.597222222222202</v>
          </cell>
        </row>
        <row r="67">
          <cell r="CI67">
            <v>0.60069444444442399</v>
          </cell>
        </row>
        <row r="68">
          <cell r="CI68">
            <v>0.60416666666664598</v>
          </cell>
        </row>
        <row r="69">
          <cell r="CI69">
            <v>0.60763888888886797</v>
          </cell>
        </row>
        <row r="70">
          <cell r="CI70">
            <v>0.61111111111108996</v>
          </cell>
        </row>
        <row r="71">
          <cell r="CI71">
            <v>0.61458333333331205</v>
          </cell>
        </row>
        <row r="72">
          <cell r="CI72">
            <v>0.61805555555553404</v>
          </cell>
        </row>
        <row r="73">
          <cell r="CI73">
            <v>0.62152777777775603</v>
          </cell>
        </row>
        <row r="74">
          <cell r="CI74">
            <v>0.62499999999997802</v>
          </cell>
        </row>
        <row r="75">
          <cell r="CI75">
            <v>0.62847222222220001</v>
          </cell>
        </row>
        <row r="76">
          <cell r="CI76">
            <v>0.63194444444442199</v>
          </cell>
        </row>
        <row r="77">
          <cell r="CI77">
            <v>0.63541666666664398</v>
          </cell>
        </row>
        <row r="78">
          <cell r="CI78">
            <v>0.63888888888886597</v>
          </cell>
        </row>
        <row r="79">
          <cell r="CI79">
            <v>0.64236111111108796</v>
          </cell>
        </row>
        <row r="80">
          <cell r="CI80">
            <v>0.64583333333330994</v>
          </cell>
        </row>
        <row r="81">
          <cell r="CI81">
            <v>0.64930555555553204</v>
          </cell>
        </row>
        <row r="82">
          <cell r="CI82">
            <v>0.65277777777775403</v>
          </cell>
        </row>
        <row r="83">
          <cell r="CI83">
            <v>0.65624999999997602</v>
          </cell>
        </row>
        <row r="84">
          <cell r="CI84">
            <v>0.65972222222219801</v>
          </cell>
        </row>
        <row r="85">
          <cell r="CI85">
            <v>0.66319444444441999</v>
          </cell>
        </row>
        <row r="86">
          <cell r="CI86">
            <v>0.66666666666664198</v>
          </cell>
        </row>
        <row r="87">
          <cell r="CI87">
            <v>0.67013888888886397</v>
          </cell>
        </row>
        <row r="88">
          <cell r="CI88">
            <v>0.67361111111108596</v>
          </cell>
        </row>
        <row r="89">
          <cell r="CI89">
            <v>0.67708333333330795</v>
          </cell>
        </row>
        <row r="90">
          <cell r="CI90">
            <v>0.68055555555553005</v>
          </cell>
        </row>
        <row r="91">
          <cell r="CI91">
            <v>0.68402777777775203</v>
          </cell>
        </row>
        <row r="92">
          <cell r="CI92">
            <v>0.68749999999997402</v>
          </cell>
        </row>
        <row r="93">
          <cell r="CI93">
            <v>0.69097222222219601</v>
          </cell>
        </row>
        <row r="94">
          <cell r="CI94">
            <v>0.694444444444418</v>
          </cell>
        </row>
        <row r="95">
          <cell r="CI95">
            <v>0.69791666666663998</v>
          </cell>
        </row>
        <row r="96">
          <cell r="CI96">
            <v>0.70138888888886197</v>
          </cell>
        </row>
        <row r="97">
          <cell r="CI97">
            <v>0.70486111111108396</v>
          </cell>
        </row>
        <row r="98">
          <cell r="CI98">
            <v>0.70833333333330595</v>
          </cell>
        </row>
        <row r="99">
          <cell r="CI99">
            <v>0.71180555555552805</v>
          </cell>
        </row>
        <row r="100">
          <cell r="CI100">
            <v>0.71527777777775003</v>
          </cell>
        </row>
        <row r="101">
          <cell r="CI101">
            <v>0.71874999999997202</v>
          </cell>
        </row>
        <row r="102">
          <cell r="CI102">
            <v>0.72222222222219401</v>
          </cell>
        </row>
        <row r="103">
          <cell r="CI103">
            <v>0.725694444444415</v>
          </cell>
        </row>
        <row r="104">
          <cell r="CI104">
            <v>0.72916666666663699</v>
          </cell>
        </row>
        <row r="105">
          <cell r="CI105">
            <v>0.73263888888885897</v>
          </cell>
        </row>
        <row r="106">
          <cell r="CI106">
            <v>0.73611111111108096</v>
          </cell>
        </row>
        <row r="107">
          <cell r="CI107">
            <v>0.73958333333330295</v>
          </cell>
        </row>
        <row r="108">
          <cell r="CI108">
            <v>0.74305555555552505</v>
          </cell>
        </row>
        <row r="109">
          <cell r="CI109">
            <v>0.74652777777774704</v>
          </cell>
        </row>
        <row r="110">
          <cell r="CI110">
            <v>0.74999999999996902</v>
          </cell>
        </row>
        <row r="111">
          <cell r="CI111">
            <v>0.75347222222219101</v>
          </cell>
        </row>
        <row r="112">
          <cell r="CI112">
            <v>0.756944444444413</v>
          </cell>
        </row>
        <row r="113">
          <cell r="CI113">
            <v>0.76041666666663499</v>
          </cell>
        </row>
        <row r="114">
          <cell r="CI114">
            <v>0.76388888888885698</v>
          </cell>
        </row>
        <row r="115">
          <cell r="CI115">
            <v>0.76736111111107896</v>
          </cell>
        </row>
        <row r="116">
          <cell r="CI116">
            <v>0.77083333333330095</v>
          </cell>
        </row>
        <row r="117">
          <cell r="CI117">
            <v>0.77430555555552305</v>
          </cell>
        </row>
        <row r="118">
          <cell r="CI118">
            <v>0.77777777777774504</v>
          </cell>
        </row>
        <row r="119">
          <cell r="CI119">
            <v>0.78124999999996703</v>
          </cell>
        </row>
        <row r="120">
          <cell r="CI120">
            <v>0.78472222222218901</v>
          </cell>
        </row>
        <row r="121">
          <cell r="CI121">
            <v>0.788194444444411</v>
          </cell>
        </row>
        <row r="122">
          <cell r="CI122">
            <v>0.79166666666663299</v>
          </cell>
        </row>
        <row r="123">
          <cell r="CI123">
            <v>0.79513888888885498</v>
          </cell>
        </row>
        <row r="124">
          <cell r="CI124">
            <v>0.79861111111107697</v>
          </cell>
        </row>
        <row r="125">
          <cell r="CI125">
            <v>0.80208333333329895</v>
          </cell>
        </row>
        <row r="126">
          <cell r="CI126">
            <v>0.80555555555552105</v>
          </cell>
        </row>
        <row r="127">
          <cell r="CI127">
            <v>0.80902777777774304</v>
          </cell>
        </row>
        <row r="128">
          <cell r="CI128">
            <v>0.81249999999996503</v>
          </cell>
        </row>
        <row r="129">
          <cell r="CI129">
            <v>0.81597222222218702</v>
          </cell>
        </row>
        <row r="130">
          <cell r="CI130">
            <v>0.819444444444409</v>
          </cell>
        </row>
        <row r="131">
          <cell r="CI131">
            <v>0.82291666666663099</v>
          </cell>
        </row>
        <row r="132">
          <cell r="CI132">
            <v>0.82638888888885298</v>
          </cell>
        </row>
        <row r="133">
          <cell r="CI133">
            <v>0.82986111111107497</v>
          </cell>
        </row>
        <row r="134">
          <cell r="CI134">
            <v>0.83333333333329696</v>
          </cell>
        </row>
        <row r="135">
          <cell r="CI135">
            <v>0.83680555555551905</v>
          </cell>
        </row>
        <row r="136">
          <cell r="CI136">
            <v>0.84027777777774104</v>
          </cell>
        </row>
        <row r="137">
          <cell r="CI137">
            <v>0.84374999999996303</v>
          </cell>
        </row>
        <row r="138">
          <cell r="CI138">
            <v>0.84722222222218502</v>
          </cell>
        </row>
        <row r="139">
          <cell r="CI139">
            <v>0.85069444444440701</v>
          </cell>
        </row>
        <row r="140">
          <cell r="CI140">
            <v>0.85416666666662899</v>
          </cell>
        </row>
        <row r="141">
          <cell r="CI141">
            <v>0.85763888888885098</v>
          </cell>
        </row>
        <row r="142">
          <cell r="CI142">
            <v>0.86111111111107297</v>
          </cell>
        </row>
        <row r="143">
          <cell r="CI143">
            <v>0.86458333333329496</v>
          </cell>
        </row>
        <row r="144">
          <cell r="CI144">
            <v>0.86805555555551694</v>
          </cell>
        </row>
        <row r="145">
          <cell r="CI145">
            <v>0.87152777777773904</v>
          </cell>
        </row>
        <row r="146">
          <cell r="CI146">
            <v>0.87499999999996103</v>
          </cell>
        </row>
        <row r="147">
          <cell r="CI147">
            <v>0.87847222222218302</v>
          </cell>
        </row>
        <row r="148">
          <cell r="CI148">
            <v>0.88194444444440501</v>
          </cell>
        </row>
        <row r="149">
          <cell r="CI149">
            <v>0.88541666666662699</v>
          </cell>
        </row>
        <row r="150">
          <cell r="CI150">
            <v>0.88888888888884898</v>
          </cell>
        </row>
        <row r="151">
          <cell r="CI151">
            <v>0.89236111111107097</v>
          </cell>
        </row>
        <row r="152">
          <cell r="CI152">
            <v>0.89583333333329296</v>
          </cell>
        </row>
        <row r="153">
          <cell r="CI153">
            <v>0.89930555555551495</v>
          </cell>
        </row>
        <row r="154">
          <cell r="CI154">
            <v>0.90277777777773704</v>
          </cell>
        </row>
        <row r="155">
          <cell r="CI155">
            <v>0.90624999999995903</v>
          </cell>
        </row>
        <row r="156">
          <cell r="CI156">
            <v>0.90972222222218102</v>
          </cell>
        </row>
        <row r="157">
          <cell r="CI157">
            <v>0.91319444444440301</v>
          </cell>
        </row>
        <row r="158">
          <cell r="CI158">
            <v>0.916666666666625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確認マシーン"/>
      <sheetName val="確認マシーン (2)"/>
      <sheetName val="クラスＩＤ11.4更新"/>
    </sheetNames>
    <sheetDataSet>
      <sheetData sheetId="0" refreshError="1"/>
      <sheetData sheetId="1">
        <row r="2">
          <cell r="A2" t="str">
            <v>進学ジム</v>
          </cell>
        </row>
        <row r="3">
          <cell r="A3" t="str">
            <v>算国クラブ</v>
          </cell>
        </row>
        <row r="4">
          <cell r="A4" t="str">
            <v>須田塾</v>
          </cell>
        </row>
        <row r="5">
          <cell r="A5" t="str">
            <v>高校生マイセルフ</v>
          </cell>
        </row>
        <row r="6">
          <cell r="A6" t="str">
            <v>文理</v>
          </cell>
        </row>
        <row r="7">
          <cell r="A7" t="str">
            <v>学院</v>
          </cell>
        </row>
        <row r="8">
          <cell r="A8" t="str">
            <v>中受験</v>
          </cell>
        </row>
        <row r="9">
          <cell r="A9" t="str">
            <v>ゲイツ</v>
          </cell>
        </row>
        <row r="10">
          <cell r="A10" t="str">
            <v>四軒家まなびワールド</v>
          </cell>
        </row>
        <row r="11">
          <cell r="A11" t="str">
            <v>インター</v>
          </cell>
        </row>
      </sheetData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1　校舎マスタ"/>
      <sheetName val="1002　ブランドマスタ"/>
      <sheetName val="1005　時間割作成"/>
      <sheetName val="1005-2 クラス編成ヘルパーmoto"/>
      <sheetName val="1005-2 時間割作成　アン"/>
      <sheetName val="1005  らくらくから　クラス基本情報 (アン) (3)"/>
      <sheetName val="1006　教材マスタ"/>
      <sheetName val="1004　クラス作成 "/>
      <sheetName val="21910 プレミエール　通期"/>
      <sheetName val="21911 プレミエール　講習"/>
      <sheetName val="21901  小学受験部 年少.年中 通期"/>
      <sheetName val="21902  小学受験部 年少・年中　 講習"/>
      <sheetName val="21903  小学受験部 年長 通期 "/>
      <sheetName val="21904  小学受験部 年長 講習"/>
      <sheetName val="21905  小学受験部 年中 金山土曜日１"/>
      <sheetName val="21906  小学受験部 年中 金山土曜日２"/>
      <sheetName val="21907 プレミアム　第１・３"/>
      <sheetName val="21908 プレミアム　第２・４"/>
      <sheetName val="21909 プレミアム　9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2">
          <cell r="M2" t="str">
            <v>元日</v>
          </cell>
          <cell r="N2" t="str">
            <v>2019/1/1</v>
          </cell>
        </row>
        <row r="3">
          <cell r="M3" t="str">
            <v>成人の日</v>
          </cell>
          <cell r="N3" t="str">
            <v>2019/1/14</v>
          </cell>
        </row>
        <row r="4">
          <cell r="M4" t="str">
            <v>建国記念の日</v>
          </cell>
          <cell r="N4" t="str">
            <v>2019/2/11</v>
          </cell>
        </row>
        <row r="5">
          <cell r="M5" t="str">
            <v>春分の日</v>
          </cell>
          <cell r="N5" t="str">
            <v>2019/3/21</v>
          </cell>
        </row>
        <row r="6">
          <cell r="M6" t="str">
            <v>昭和の日</v>
          </cell>
          <cell r="N6" t="str">
            <v>2019/4/29</v>
          </cell>
        </row>
        <row r="7">
          <cell r="M7" t="str">
            <v>国民の休日</v>
          </cell>
          <cell r="N7" t="str">
            <v>2019/4/30</v>
          </cell>
        </row>
        <row r="8">
          <cell r="M8" t="str">
            <v>天皇の即位の日</v>
          </cell>
          <cell r="N8" t="str">
            <v>2019/5/1</v>
          </cell>
        </row>
        <row r="9">
          <cell r="M9" t="str">
            <v>国民の休日</v>
          </cell>
          <cell r="N9" t="str">
            <v>2019/5/2</v>
          </cell>
        </row>
        <row r="10">
          <cell r="M10" t="str">
            <v>憲法記念日</v>
          </cell>
          <cell r="N10" t="str">
            <v>2019/5/3</v>
          </cell>
        </row>
        <row r="11">
          <cell r="M11" t="str">
            <v>みどりの日</v>
          </cell>
          <cell r="N11" t="str">
            <v>2019/5/4</v>
          </cell>
        </row>
        <row r="12">
          <cell r="M12" t="str">
            <v>こどもの日</v>
          </cell>
          <cell r="N12" t="str">
            <v>2019/5/5</v>
          </cell>
        </row>
        <row r="13">
          <cell r="M13" t="str">
            <v>振替休日</v>
          </cell>
          <cell r="N13" t="str">
            <v>2019/5/6</v>
          </cell>
        </row>
        <row r="14">
          <cell r="M14" t="str">
            <v>海の日</v>
          </cell>
          <cell r="N14" t="str">
            <v>2019/7/15</v>
          </cell>
        </row>
        <row r="15">
          <cell r="M15" t="str">
            <v>山の日</v>
          </cell>
          <cell r="N15" t="str">
            <v>2019/8/11</v>
          </cell>
        </row>
        <row r="16">
          <cell r="M16" t="str">
            <v>振替休日</v>
          </cell>
          <cell r="N16" t="str">
            <v>2019/8/12</v>
          </cell>
        </row>
        <row r="17">
          <cell r="M17" t="str">
            <v>敬老の日</v>
          </cell>
          <cell r="N17" t="str">
            <v>2019/9/16</v>
          </cell>
        </row>
        <row r="18">
          <cell r="M18" t="str">
            <v>秋分の日</v>
          </cell>
          <cell r="N18" t="str">
            <v>2019/9/23</v>
          </cell>
        </row>
        <row r="19">
          <cell r="M19" t="str">
            <v>体育の日</v>
          </cell>
          <cell r="N19" t="str">
            <v>2019/10/14</v>
          </cell>
        </row>
        <row r="20">
          <cell r="M20" t="str">
            <v>即位礼正殿の儀</v>
          </cell>
          <cell r="N20" t="str">
            <v>2019/10/22</v>
          </cell>
        </row>
        <row r="21">
          <cell r="M21" t="str">
            <v>文化の日</v>
          </cell>
          <cell r="N21" t="str">
            <v>2019/11/3</v>
          </cell>
        </row>
        <row r="22">
          <cell r="M22" t="str">
            <v>振替休日</v>
          </cell>
          <cell r="N22" t="str">
            <v>2019/11/4</v>
          </cell>
        </row>
        <row r="23">
          <cell r="M23" t="str">
            <v>勤労感謝の日</v>
          </cell>
          <cell r="N23" t="str">
            <v>2019/11/23</v>
          </cell>
        </row>
        <row r="24">
          <cell r="M24" t="str">
            <v>元日</v>
          </cell>
          <cell r="N24" t="str">
            <v>2020/1/1</v>
          </cell>
        </row>
        <row r="25">
          <cell r="M25" t="str">
            <v>成人の日</v>
          </cell>
          <cell r="N25" t="str">
            <v>2020/1/13</v>
          </cell>
        </row>
        <row r="26">
          <cell r="M26" t="str">
            <v>建国記念の日</v>
          </cell>
          <cell r="N26" t="str">
            <v>2020/2/11</v>
          </cell>
        </row>
        <row r="27">
          <cell r="M27" t="str">
            <v>天皇誕生日</v>
          </cell>
          <cell r="N27" t="str">
            <v>2020/2/23</v>
          </cell>
        </row>
        <row r="28">
          <cell r="M28" t="str">
            <v>振替休日</v>
          </cell>
          <cell r="N28" t="str">
            <v>2020/2/24</v>
          </cell>
        </row>
        <row r="29">
          <cell r="M29" t="str">
            <v>春分の日</v>
          </cell>
          <cell r="N29" t="str">
            <v>2020/3/20</v>
          </cell>
        </row>
        <row r="30">
          <cell r="M30" t="str">
            <v>昭和の日</v>
          </cell>
          <cell r="N30" t="str">
            <v>2020/4/29</v>
          </cell>
        </row>
        <row r="31">
          <cell r="M31" t="str">
            <v>憲法記念日</v>
          </cell>
          <cell r="N31" t="str">
            <v>2020/5/3</v>
          </cell>
        </row>
        <row r="32">
          <cell r="M32" t="str">
            <v>みどりの日</v>
          </cell>
          <cell r="N32" t="str">
            <v>2020/5/4</v>
          </cell>
        </row>
        <row r="33">
          <cell r="M33" t="str">
            <v>こどもの日</v>
          </cell>
          <cell r="N33" t="str">
            <v>2020/5/5</v>
          </cell>
        </row>
        <row r="34">
          <cell r="M34" t="str">
            <v>振替休日</v>
          </cell>
          <cell r="N34" t="str">
            <v>2020/5/6</v>
          </cell>
        </row>
        <row r="35">
          <cell r="M35" t="str">
            <v>海の日</v>
          </cell>
          <cell r="N35" t="str">
            <v>2020/7/23</v>
          </cell>
        </row>
        <row r="36">
          <cell r="M36" t="str">
            <v>スポーツの日</v>
          </cell>
          <cell r="N36" t="str">
            <v>2020/7/24</v>
          </cell>
        </row>
        <row r="37">
          <cell r="M37" t="str">
            <v>山の日</v>
          </cell>
          <cell r="N37" t="str">
            <v>2020/8/10</v>
          </cell>
        </row>
        <row r="38">
          <cell r="M38" t="str">
            <v>敬老の日</v>
          </cell>
          <cell r="N38" t="str">
            <v>2020/9/21</v>
          </cell>
        </row>
        <row r="39">
          <cell r="M39" t="str">
            <v>秋分の日</v>
          </cell>
          <cell r="N39" t="str">
            <v>2020/9/22</v>
          </cell>
        </row>
        <row r="40">
          <cell r="M40" t="str">
            <v>文化の日</v>
          </cell>
          <cell r="N40" t="str">
            <v>2020/11/3</v>
          </cell>
        </row>
        <row r="41">
          <cell r="M41" t="str">
            <v>勤労感謝の日</v>
          </cell>
          <cell r="N41" t="str">
            <v>2020/11/23</v>
          </cell>
        </row>
        <row r="42">
          <cell r="M42" t="str">
            <v>元日</v>
          </cell>
          <cell r="N42" t="str">
            <v>2021/1/1</v>
          </cell>
        </row>
        <row r="43">
          <cell r="M43" t="str">
            <v>成人の日</v>
          </cell>
          <cell r="N43" t="str">
            <v>2021/1/11</v>
          </cell>
        </row>
        <row r="44">
          <cell r="M44" t="str">
            <v>建国記念の日</v>
          </cell>
          <cell r="N44" t="str">
            <v>2021/2/11</v>
          </cell>
        </row>
        <row r="45">
          <cell r="M45" t="str">
            <v>天皇誕生日</v>
          </cell>
          <cell r="N45" t="str">
            <v>2021/2/23</v>
          </cell>
        </row>
        <row r="46">
          <cell r="M46" t="str">
            <v>春分の日</v>
          </cell>
          <cell r="N46" t="str">
            <v>2021/3/20</v>
          </cell>
        </row>
        <row r="47">
          <cell r="M47" t="str">
            <v>昭和の日</v>
          </cell>
          <cell r="N47" t="str">
            <v>2021/4/29</v>
          </cell>
        </row>
        <row r="48">
          <cell r="M48" t="str">
            <v>憲法記念日</v>
          </cell>
          <cell r="N48" t="str">
            <v>2021/5/3</v>
          </cell>
        </row>
        <row r="49">
          <cell r="M49" t="str">
            <v>みどりの日</v>
          </cell>
          <cell r="N49" t="str">
            <v>2021/5/4</v>
          </cell>
        </row>
        <row r="50">
          <cell r="M50" t="str">
            <v>こどもの日</v>
          </cell>
          <cell r="N50" t="str">
            <v>2021/5/5</v>
          </cell>
        </row>
        <row r="51">
          <cell r="M51" t="str">
            <v>海の日</v>
          </cell>
          <cell r="N51" t="str">
            <v>2021/7/19</v>
          </cell>
        </row>
        <row r="52">
          <cell r="M52" t="str">
            <v>山の日</v>
          </cell>
          <cell r="N52" t="str">
            <v>2021/8/11</v>
          </cell>
        </row>
        <row r="53">
          <cell r="M53" t="str">
            <v>敬老の日</v>
          </cell>
          <cell r="N53" t="str">
            <v>2021/9/20</v>
          </cell>
        </row>
        <row r="54">
          <cell r="M54" t="str">
            <v>秋分の日</v>
          </cell>
          <cell r="N54" t="str">
            <v>2021/9/23</v>
          </cell>
        </row>
        <row r="55">
          <cell r="M55" t="str">
            <v>スポーツの日</v>
          </cell>
          <cell r="N55" t="str">
            <v>2021/10/11</v>
          </cell>
        </row>
        <row r="56">
          <cell r="M56" t="str">
            <v>文化の日</v>
          </cell>
          <cell r="N56" t="str">
            <v>2021/11/3</v>
          </cell>
        </row>
        <row r="57">
          <cell r="M57" t="str">
            <v>勤労感謝の日</v>
          </cell>
          <cell r="N57" t="str">
            <v>2021/11/23</v>
          </cell>
        </row>
        <row r="58">
          <cell r="M58" t="str">
            <v>元日</v>
          </cell>
          <cell r="N58" t="str">
            <v>2022/1/1</v>
          </cell>
        </row>
        <row r="59">
          <cell r="M59" t="str">
            <v>成人の日</v>
          </cell>
          <cell r="N59" t="str">
            <v>2022/1/10</v>
          </cell>
        </row>
        <row r="60">
          <cell r="M60" t="str">
            <v>建国記念の日</v>
          </cell>
          <cell r="N60" t="str">
            <v>2022/2/11</v>
          </cell>
        </row>
        <row r="61">
          <cell r="M61" t="str">
            <v>天皇誕生日</v>
          </cell>
          <cell r="N61" t="str">
            <v>2022/2/23</v>
          </cell>
        </row>
        <row r="62">
          <cell r="M62" t="str">
            <v>春分の日</v>
          </cell>
          <cell r="N62" t="str">
            <v>2022/3/21</v>
          </cell>
        </row>
        <row r="63">
          <cell r="M63" t="str">
            <v>昭和の日</v>
          </cell>
          <cell r="N63" t="str">
            <v>2022/4/29</v>
          </cell>
        </row>
        <row r="64">
          <cell r="M64" t="str">
            <v>憲法記念日</v>
          </cell>
          <cell r="N64" t="str">
            <v>2022/5/3</v>
          </cell>
        </row>
        <row r="65">
          <cell r="M65" t="str">
            <v>みどりの日</v>
          </cell>
          <cell r="N65" t="str">
            <v>2022/5/4</v>
          </cell>
        </row>
        <row r="66">
          <cell r="M66" t="str">
            <v>こどもの日</v>
          </cell>
          <cell r="N66" t="str">
            <v>2022/5/5</v>
          </cell>
        </row>
        <row r="67">
          <cell r="M67" t="str">
            <v>海の日</v>
          </cell>
          <cell r="N67" t="str">
            <v>2022/7/18</v>
          </cell>
        </row>
        <row r="68">
          <cell r="M68" t="str">
            <v>山の日</v>
          </cell>
          <cell r="N68" t="str">
            <v>2022/8/11</v>
          </cell>
        </row>
        <row r="69">
          <cell r="M69" t="str">
            <v>敬老の日</v>
          </cell>
          <cell r="N69" t="str">
            <v>2022/9/19</v>
          </cell>
        </row>
        <row r="70">
          <cell r="M70" t="str">
            <v>秋分の日</v>
          </cell>
          <cell r="N70" t="str">
            <v>2022/9/23</v>
          </cell>
        </row>
        <row r="71">
          <cell r="M71" t="str">
            <v>スポーツの日</v>
          </cell>
          <cell r="N71" t="str">
            <v>2022/10/10</v>
          </cell>
        </row>
        <row r="72">
          <cell r="M72" t="str">
            <v>文化の日</v>
          </cell>
          <cell r="N72" t="str">
            <v>2022/11/3</v>
          </cell>
        </row>
        <row r="73">
          <cell r="M73" t="str">
            <v>勤労感謝の日</v>
          </cell>
          <cell r="N73" t="str">
            <v>2022/11/23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86C19-A2CB-4E44-BDF3-8717B7F16514}">
  <dimension ref="A1:F260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F93" sqref="F93"/>
    </sheetView>
  </sheetViews>
  <sheetFormatPr defaultRowHeight="12.75" x14ac:dyDescent="0.4"/>
  <cols>
    <col min="1" max="3" width="9" style="1"/>
    <col min="4" max="4" width="7.25" style="1" customWidth="1"/>
    <col min="5" max="5" width="6.125" style="1" customWidth="1"/>
    <col min="6" max="6" width="25.875" style="1" customWidth="1"/>
    <col min="7" max="16384" width="9" style="1"/>
  </cols>
  <sheetData>
    <row r="1" spans="1:6" x14ac:dyDescent="0.4">
      <c r="A1" s="1" t="str">
        <f>IF(③T11_ルーム情報!A1="","",③T11_ルーム情報!A1)</f>
        <v>OZA_ID</v>
      </c>
      <c r="B1" s="1" t="str">
        <f>IF(③T11_ルーム情報!B1="","",③T11_ルーム情報!B1)</f>
        <v>校舎ID</v>
      </c>
      <c r="C1" s="1" t="str">
        <f>IF(③T11_ルーム情報!C1="","",③T11_ルーム情報!C1)</f>
        <v>校舎名</v>
      </c>
      <c r="D1" s="1" t="str">
        <f>IF(③T11_ルーム情報!D1="","",③T11_ルーム情報!D1)</f>
        <v>ルーム名</v>
      </c>
      <c r="E1" s="1" t="str">
        <f>IF(③T11_ルーム情報!E1="","",③T11_ルーム情報!E1)</f>
        <v>席数</v>
      </c>
      <c r="F1" s="1" t="str">
        <f>IF(③T11_ルーム情報!F1="","",③T11_ルーム情報!F1)</f>
        <v>教室の説明</v>
      </c>
    </row>
    <row r="2" spans="1:6" x14ac:dyDescent="0.4">
      <c r="A2" s="1" t="str">
        <f>IF(③T11_ルーム情報!A2="","",③T11_ルーム情報!A2)</f>
        <v/>
      </c>
      <c r="B2" s="1" t="str">
        <f>IF(③T11_ルーム情報!B2="","",③T11_ルーム情報!B2)</f>
        <v>S10001</v>
      </c>
      <c r="C2" s="1" t="str">
        <f>IF(③T11_ルーム情報!C2="","",③T11_ルーム情報!C2)</f>
        <v>尾張旭校</v>
      </c>
      <c r="D2" s="1" t="str">
        <f>IF(③T11_ルーム情報!D2="","",③T11_ルーム情報!D2)</f>
        <v>ROOM1</v>
      </c>
      <c r="E2" s="1">
        <f>IF(③T11_ルーム情報!E2="","",③T11_ルーム情報!E2)</f>
        <v>15</v>
      </c>
      <c r="F2" s="1" t="str">
        <f>IF(③T11_ルーム情報!F2="","",③T11_ルーム情報!F2)</f>
        <v>１F アン</v>
      </c>
    </row>
    <row r="3" spans="1:6" x14ac:dyDescent="0.4">
      <c r="A3" s="1" t="str">
        <f>IF(③T11_ルーム情報!A3="","",③T11_ルーム情報!A3)</f>
        <v/>
      </c>
      <c r="B3" s="1" t="str">
        <f>IF(③T11_ルーム情報!B3="","",③T11_ルーム情報!B3)</f>
        <v>S10001</v>
      </c>
      <c r="C3" s="1" t="str">
        <f>IF(③T11_ルーム情報!C3="","",③T11_ルーム情報!C3)</f>
        <v>尾張旭校</v>
      </c>
      <c r="D3" s="1" t="str">
        <f>IF(③T11_ルーム情報!D3="","",③T11_ルーム情報!D3)</f>
        <v>ROOM2</v>
      </c>
      <c r="E3" s="1">
        <f>IF(③T11_ルーム情報!E3="","",③T11_ルーム情報!E3)</f>
        <v>8</v>
      </c>
      <c r="F3" s="1" t="str">
        <f>IF(③T11_ルーム情報!F3="","",③T11_ルーム情報!F3)</f>
        <v>１F 会議室大</v>
      </c>
    </row>
    <row r="4" spans="1:6" x14ac:dyDescent="0.4">
      <c r="A4" s="1" t="str">
        <f>IF(③T11_ルーム情報!A4="","",③T11_ルーム情報!A4)</f>
        <v/>
      </c>
      <c r="B4" s="1" t="str">
        <f>IF(③T11_ルーム情報!B4="","",③T11_ルーム情報!B4)</f>
        <v>S10001</v>
      </c>
      <c r="C4" s="1" t="str">
        <f>IF(③T11_ルーム情報!C4="","",③T11_ルーム情報!C4)</f>
        <v>尾張旭校</v>
      </c>
      <c r="D4" s="1" t="str">
        <f>IF(③T11_ルーム情報!D4="","",③T11_ルーム情報!D4)</f>
        <v>ROOM3</v>
      </c>
      <c r="E4" s="1">
        <f>IF(③T11_ルーム情報!E4="","",③T11_ルーム情報!E4)</f>
        <v>5</v>
      </c>
      <c r="F4" s="1" t="str">
        <f>IF(③T11_ルーム情報!F4="","",③T11_ルーム情報!F4)</f>
        <v>１F 会議室小</v>
      </c>
    </row>
    <row r="5" spans="1:6" x14ac:dyDescent="0.4">
      <c r="A5" s="1" t="str">
        <f>IF(③T11_ルーム情報!A5="","",③T11_ルーム情報!A5)</f>
        <v/>
      </c>
      <c r="B5" s="1" t="str">
        <f>IF(③T11_ルーム情報!B5="","",③T11_ルーム情報!B5)</f>
        <v>S10001</v>
      </c>
      <c r="C5" s="1" t="str">
        <f>IF(③T11_ルーム情報!C5="","",③T11_ルーム情報!C5)</f>
        <v>尾張旭校</v>
      </c>
      <c r="D5" s="1" t="str">
        <f>IF(③T11_ルーム情報!D5="","",③T11_ルーム情報!D5)</f>
        <v>ROOM4</v>
      </c>
      <c r="E5" s="1">
        <f>IF(③T11_ルーム情報!E5="","",③T11_ルーム情報!E5)</f>
        <v>36</v>
      </c>
      <c r="F5" s="1" t="str">
        <f>IF(③T11_ルーム情報!F5="","",③T11_ルーム情報!F5)</f>
        <v>２F 塾部屋</v>
      </c>
    </row>
    <row r="6" spans="1:6" x14ac:dyDescent="0.4">
      <c r="A6" s="1" t="str">
        <f>IF(③T11_ルーム情報!A6="","",③T11_ルーム情報!A6)</f>
        <v/>
      </c>
      <c r="B6" s="1" t="str">
        <f>IF(③T11_ルーム情報!B6="","",③T11_ルーム情報!B6)</f>
        <v>S10001</v>
      </c>
      <c r="C6" s="1" t="str">
        <f>IF(③T11_ルーム情報!C6="","",③T11_ルーム情報!C6)</f>
        <v>尾張旭校</v>
      </c>
      <c r="D6" s="1" t="str">
        <f>IF(③T11_ルーム情報!D6="","",③T11_ルーム情報!D6)</f>
        <v>ROOM5</v>
      </c>
      <c r="E6" s="1">
        <f>IF(③T11_ルーム情報!E6="","",③T11_ルーム情報!E6)</f>
        <v>30</v>
      </c>
      <c r="F6" s="1" t="str">
        <f>IF(③T11_ルーム情報!F6="","",③T11_ルーム情報!F6)</f>
        <v>２F そろばん/習字</v>
      </c>
    </row>
    <row r="7" spans="1:6" x14ac:dyDescent="0.4">
      <c r="A7" s="1" t="str">
        <f>IF(③T11_ルーム情報!A7="","",③T11_ルーム情報!A7)</f>
        <v/>
      </c>
      <c r="B7" s="1" t="str">
        <f>IF(③T11_ルーム情報!B7="","",③T11_ルーム情報!B7)</f>
        <v>S10001</v>
      </c>
      <c r="C7" s="1" t="str">
        <f>IF(③T11_ルーム情報!C7="","",③T11_ルーム情報!C7)</f>
        <v>尾張旭校</v>
      </c>
      <c r="D7" s="1" t="str">
        <f>IF(③T11_ルーム情報!D7="","",③T11_ルーム情報!D7)</f>
        <v>ROOM6</v>
      </c>
      <c r="E7" s="1">
        <f>IF(③T11_ルーム情報!E7="","",③T11_ルーム情報!E7)</f>
        <v>5</v>
      </c>
      <c r="F7" s="1" t="str">
        <f>IF(③T11_ルーム情報!F7="","",③T11_ルーム情報!F7)</f>
        <v>２F 応接/中受験</v>
      </c>
    </row>
    <row r="8" spans="1:6" x14ac:dyDescent="0.4">
      <c r="A8" s="1" t="str">
        <f>IF(③T11_ルーム情報!A8="","",③T11_ルーム情報!A8)</f>
        <v/>
      </c>
      <c r="B8" s="1" t="str">
        <f>IF(③T11_ルーム情報!B8="","",③T11_ルーム情報!B8)</f>
        <v>S10001</v>
      </c>
      <c r="C8" s="1" t="str">
        <f>IF(③T11_ルーム情報!C8="","",③T11_ルーム情報!C8)</f>
        <v>尾張旭校</v>
      </c>
      <c r="D8" s="1" t="str">
        <f>IF(③T11_ルーム情報!D8="","",③T11_ルーム情報!D8)</f>
        <v>ROOM7</v>
      </c>
      <c r="E8" s="1">
        <f>IF(③T11_ルーム情報!E8="","",③T11_ルーム情報!E8)</f>
        <v>6</v>
      </c>
      <c r="F8" s="1" t="str">
        <f>IF(③T11_ルーム情報!F8="","",③T11_ルーム情報!F8)</f>
        <v>２F 中入研倉庫</v>
      </c>
    </row>
    <row r="9" spans="1:6" x14ac:dyDescent="0.4">
      <c r="A9" s="1" t="str">
        <f>IF(③T11_ルーム情報!A9="","",③T11_ルーム情報!A9)</f>
        <v/>
      </c>
      <c r="B9" s="1" t="str">
        <f>IF(③T11_ルーム情報!B9="","",③T11_ルーム情報!B9)</f>
        <v>S10002</v>
      </c>
      <c r="C9" s="1" t="str">
        <f>IF(③T11_ルーム情報!C9="","",③T11_ルーム情報!C9)</f>
        <v>吉根校</v>
      </c>
      <c r="D9" s="1" t="str">
        <f>IF(③T11_ルーム情報!D9="","",③T11_ルーム情報!D9)</f>
        <v>ROOM1</v>
      </c>
      <c r="E9" s="1">
        <f>IF(③T11_ルーム情報!E9="","",③T11_ルーム情報!E9)</f>
        <v>13</v>
      </c>
      <c r="F9" s="1" t="str">
        <f>IF(③T11_ルーム情報!F9="","",③T11_ルーム情報!F9)</f>
        <v>１F アン</v>
      </c>
    </row>
    <row r="10" spans="1:6" x14ac:dyDescent="0.4">
      <c r="A10" s="1" t="str">
        <f>IF(③T11_ルーム情報!A10="","",③T11_ルーム情報!A10)</f>
        <v/>
      </c>
      <c r="B10" s="1" t="str">
        <f>IF(③T11_ルーム情報!B10="","",③T11_ルーム情報!B10)</f>
        <v>S10002</v>
      </c>
      <c r="C10" s="1" t="str">
        <f>IF(③T11_ルーム情報!C10="","",③T11_ルーム情報!C10)</f>
        <v>吉根校</v>
      </c>
      <c r="D10" s="1" t="str">
        <f>IF(③T11_ルーム情報!D10="","",③T11_ルーム情報!D10)</f>
        <v>ROOM2</v>
      </c>
      <c r="E10" s="1">
        <f>IF(③T11_ルーム情報!E10="","",③T11_ルーム情報!E10)</f>
        <v>12</v>
      </c>
      <c r="F10" s="1" t="str">
        <f>IF(③T11_ルーム情報!F10="","",③T11_ルーム情報!F10)</f>
        <v>２F そろばん/習字</v>
      </c>
    </row>
    <row r="11" spans="1:6" x14ac:dyDescent="0.4">
      <c r="A11" s="1" t="str">
        <f>IF(③T11_ルーム情報!A11="","",③T11_ルーム情報!A11)</f>
        <v/>
      </c>
      <c r="B11" s="1" t="str">
        <f>IF(③T11_ルーム情報!B11="","",③T11_ルーム情報!B11)</f>
        <v>S10003</v>
      </c>
      <c r="C11" s="1" t="str">
        <f>IF(③T11_ルーム情報!C11="","",③T11_ルーム情報!C11)</f>
        <v>小幡校</v>
      </c>
      <c r="D11" s="1" t="str">
        <f>IF(③T11_ルーム情報!D11="","",③T11_ルーム情報!D11)</f>
        <v>ROOM1</v>
      </c>
      <c r="E11" s="1">
        <f>IF(③T11_ルーム情報!E11="","",③T11_ルーム情報!E11)</f>
        <v>14</v>
      </c>
      <c r="F11" s="1" t="str">
        <f>IF(③T11_ルーム情報!F11="","",③T11_ルーム情報!F11)</f>
        <v>1Fそろばん習字</v>
      </c>
    </row>
    <row r="12" spans="1:6" x14ac:dyDescent="0.4">
      <c r="A12" s="1" t="str">
        <f>IF(③T11_ルーム情報!A12="","",③T11_ルーム情報!A12)</f>
        <v/>
      </c>
      <c r="B12" s="1" t="str">
        <f>IF(③T11_ルーム情報!B12="","",③T11_ルーム情報!B12)</f>
        <v>S10003</v>
      </c>
      <c r="C12" s="1" t="str">
        <f>IF(③T11_ルーム情報!C12="","",③T11_ルーム情報!C12)</f>
        <v>小幡校</v>
      </c>
      <c r="D12" s="1" t="str">
        <f>IF(③T11_ルーム情報!D12="","",③T11_ルーム情報!D12)</f>
        <v>ROOM2</v>
      </c>
      <c r="E12" s="1">
        <f>IF(③T11_ルーム情報!E12="","",③T11_ルーム情報!E12)</f>
        <v>15</v>
      </c>
      <c r="F12" s="1" t="str">
        <f>IF(③T11_ルーム情報!F12="","",③T11_ルーム情報!F12)</f>
        <v>2F　アン部屋</v>
      </c>
    </row>
    <row r="13" spans="1:6" x14ac:dyDescent="0.4">
      <c r="A13" s="1" t="str">
        <f>IF(③T11_ルーム情報!A13="","",③T11_ルーム情報!A13)</f>
        <v/>
      </c>
      <c r="B13" s="1" t="str">
        <f>IF(③T11_ルーム情報!B13="","",③T11_ルーム情報!B13)</f>
        <v>S10003</v>
      </c>
      <c r="C13" s="1" t="str">
        <f>IF(③T11_ルーム情報!C13="","",③T11_ルーム情報!C13)</f>
        <v>小幡校</v>
      </c>
      <c r="D13" s="1" t="str">
        <f>IF(③T11_ルーム情報!D13="","",③T11_ルーム情報!D13)</f>
        <v>ROOM3</v>
      </c>
      <c r="E13" s="1">
        <f>IF(③T11_ルーム情報!E13="","",③T11_ルーム情報!E13)</f>
        <v>28</v>
      </c>
      <c r="F13" s="1" t="str">
        <f>IF(③T11_ルーム情報!F13="","",③T11_ルーム情報!F13)</f>
        <v>2F　塾部屋</v>
      </c>
    </row>
    <row r="14" spans="1:6" x14ac:dyDescent="0.4">
      <c r="A14" s="1" t="str">
        <f>IF(③T11_ルーム情報!A14="","",③T11_ルーム情報!A14)</f>
        <v/>
      </c>
      <c r="B14" s="1" t="str">
        <f>IF(③T11_ルーム情報!B14="","",③T11_ルーム情報!B14)</f>
        <v>S10004</v>
      </c>
      <c r="C14" s="1" t="str">
        <f>IF(③T11_ルーム情報!C14="","",③T11_ルーム情報!C14)</f>
        <v>喜多山校</v>
      </c>
      <c r="D14" s="1" t="str">
        <f>IF(③T11_ルーム情報!D14="","",③T11_ルーム情報!D14)</f>
        <v>ROOM1</v>
      </c>
      <c r="E14" s="1">
        <f>IF(③T11_ルーム情報!E14="","",③T11_ルーム情報!E14)</f>
        <v>20</v>
      </c>
      <c r="F14" s="1" t="str">
        <f>IF(③T11_ルーム情報!F14="","",③T11_ルーム情報!F14)</f>
        <v>アン部屋</v>
      </c>
    </row>
    <row r="15" spans="1:6" x14ac:dyDescent="0.4">
      <c r="A15" s="1" t="str">
        <f>IF(③T11_ルーム情報!A15="","",③T11_ルーム情報!A15)</f>
        <v/>
      </c>
      <c r="B15" s="1" t="str">
        <f>IF(③T11_ルーム情報!B15="","",③T11_ルーム情報!B15)</f>
        <v>S10004</v>
      </c>
      <c r="C15" s="1" t="str">
        <f>IF(③T11_ルーム情報!C15="","",③T11_ルーム情報!C15)</f>
        <v>喜多山校</v>
      </c>
      <c r="D15" s="1" t="str">
        <f>IF(③T11_ルーム情報!D15="","",③T11_ルーム情報!D15)</f>
        <v>ROOM2</v>
      </c>
      <c r="E15" s="1">
        <f>IF(③T11_ルーム情報!E15="","",③T11_ルーム情報!E15)</f>
        <v>20</v>
      </c>
      <c r="F15" s="1" t="str">
        <f>IF(③T11_ルーム情報!F15="","",③T11_ルーム情報!F15)</f>
        <v>そろばん部屋</v>
      </c>
    </row>
    <row r="16" spans="1:6" x14ac:dyDescent="0.4">
      <c r="A16" s="1" t="str">
        <f>IF(③T11_ルーム情報!A16="","",③T11_ルーム情報!A16)</f>
        <v/>
      </c>
      <c r="B16" s="1" t="str">
        <f>IF(③T11_ルーム情報!B16="","",③T11_ルーム情報!B16)</f>
        <v>S10004</v>
      </c>
      <c r="C16" s="1" t="str">
        <f>IF(③T11_ルーム情報!C16="","",③T11_ルーム情報!C16)</f>
        <v>喜多山校</v>
      </c>
      <c r="D16" s="1" t="str">
        <f>IF(③T11_ルーム情報!D16="","",③T11_ルーム情報!D16)</f>
        <v>ROOM3</v>
      </c>
      <c r="E16" s="1">
        <f>IF(③T11_ルーム情報!E16="","",③T11_ルーム情報!E16)</f>
        <v>30</v>
      </c>
      <c r="F16" s="1" t="str">
        <f>IF(③T11_ルーム情報!F16="","",③T11_ルーム情報!F16)</f>
        <v>会議部屋</v>
      </c>
    </row>
    <row r="17" spans="1:6" x14ac:dyDescent="0.4">
      <c r="A17" s="1" t="str">
        <f>IF(③T11_ルーム情報!A17="","",③T11_ルーム情報!A17)</f>
        <v/>
      </c>
      <c r="B17" s="1" t="str">
        <f>IF(③T11_ルーム情報!B17="","",③T11_ルーム情報!B17)</f>
        <v>S10006</v>
      </c>
      <c r="C17" s="1" t="str">
        <f>IF(③T11_ルーム情報!C17="","",③T11_ルーム情報!C17)</f>
        <v>本山校</v>
      </c>
      <c r="D17" s="1" t="str">
        <f>IF(③T11_ルーム情報!D17="","",③T11_ルーム情報!D17)</f>
        <v>ROOM1</v>
      </c>
      <c r="E17" s="1">
        <f>IF(③T11_ルーム情報!E17="","",③T11_ルーム情報!E17)</f>
        <v>22</v>
      </c>
      <c r="F17" s="1" t="str">
        <f>IF(③T11_ルーム情報!F17="","",③T11_ルーム情報!F17)</f>
        <v>アン・そろばん</v>
      </c>
    </row>
    <row r="18" spans="1:6" x14ac:dyDescent="0.4">
      <c r="A18" s="1" t="str">
        <f>IF(③T11_ルーム情報!A18="","",③T11_ルーム情報!A18)</f>
        <v/>
      </c>
      <c r="B18" s="1" t="str">
        <f>IF(③T11_ルーム情報!B18="","",③T11_ルーム情報!B18)</f>
        <v>S10006</v>
      </c>
      <c r="C18" s="1" t="str">
        <f>IF(③T11_ルーム情報!C18="","",③T11_ルーム情報!C18)</f>
        <v>本山校</v>
      </c>
      <c r="D18" s="1" t="str">
        <f>IF(③T11_ルーム情報!D18="","",③T11_ルーム情報!D18)</f>
        <v>ROOM2</v>
      </c>
      <c r="E18" s="1">
        <f>IF(③T11_ルーム情報!E18="","",③T11_ルーム情報!E18)</f>
        <v>16</v>
      </c>
      <c r="F18" s="1" t="str">
        <f>IF(③T11_ルーム情報!F18="","",③T11_ルーム情報!F18)</f>
        <v>習字・学習塾</v>
      </c>
    </row>
    <row r="19" spans="1:6" x14ac:dyDescent="0.4">
      <c r="A19" s="1" t="str">
        <f>IF(③T11_ルーム情報!A19="","",③T11_ルーム情報!A19)</f>
        <v/>
      </c>
      <c r="B19" s="1" t="str">
        <f>IF(③T11_ルーム情報!B19="","",③T11_ルーム情報!B19)</f>
        <v>S10007</v>
      </c>
      <c r="C19" s="1" t="str">
        <f>IF(③T11_ルーム情報!C19="","",③T11_ルーム情報!C19)</f>
        <v>千種谷口校</v>
      </c>
      <c r="D19" s="1" t="str">
        <f>IF(③T11_ルーム情報!D19="","",③T11_ルーム情報!D19)</f>
        <v>ROOM1</v>
      </c>
      <c r="E19" s="1">
        <f>IF(③T11_ルーム情報!E19="","",③T11_ルーム情報!E19)</f>
        <v>12</v>
      </c>
      <c r="F19" s="1" t="str">
        <f>IF(③T11_ルーム情報!F19="","",③T11_ルーム情報!F19)</f>
        <v>アンそろばん</v>
      </c>
    </row>
    <row r="20" spans="1:6" x14ac:dyDescent="0.4">
      <c r="A20" s="1" t="str">
        <f>IF(③T11_ルーム情報!A20="","",③T11_ルーム情報!A20)</f>
        <v/>
      </c>
      <c r="B20" s="1" t="str">
        <f>IF(③T11_ルーム情報!B20="","",③T11_ルーム情報!B20)</f>
        <v>S10008</v>
      </c>
      <c r="C20" s="1" t="str">
        <f>IF(③T11_ルーム情報!C20="","",③T11_ルーム情報!C20)</f>
        <v>千種本部校</v>
      </c>
      <c r="D20" s="1" t="str">
        <f>IF(③T11_ルーム情報!D20="","",③T11_ルーム情報!D20)</f>
        <v>ROOM1</v>
      </c>
      <c r="E20" s="1">
        <f>IF(③T11_ルーム情報!E20="","",③T11_ルーム情報!E20)</f>
        <v>30</v>
      </c>
      <c r="F20" s="1" t="str">
        <f>IF(③T11_ルーム情報!F20="","",③T11_ルーム情報!F20)</f>
        <v>そろばん習字</v>
      </c>
    </row>
    <row r="21" spans="1:6" x14ac:dyDescent="0.4">
      <c r="A21" s="1" t="str">
        <f>IF(③T11_ルーム情報!A21="","",③T11_ルーム情報!A21)</f>
        <v/>
      </c>
      <c r="B21" s="1" t="str">
        <f>IF(③T11_ルーム情報!B21="","",③T11_ルーム情報!B21)</f>
        <v>S10008</v>
      </c>
      <c r="C21" s="1" t="str">
        <f>IF(③T11_ルーム情報!C21="","",③T11_ルーム情報!C21)</f>
        <v>千種本部校</v>
      </c>
      <c r="D21" s="1" t="str">
        <f>IF(③T11_ルーム情報!D21="","",③T11_ルーム情報!D21)</f>
        <v>ROOM2</v>
      </c>
      <c r="E21" s="1">
        <f>IF(③T11_ルーム情報!E21="","",③T11_ルーム情報!E21)</f>
        <v>8</v>
      </c>
      <c r="F21" s="1" t="str">
        <f>IF(③T11_ルーム情報!F21="","",③T11_ルーム情報!F21)</f>
        <v>学童</v>
      </c>
    </row>
    <row r="22" spans="1:6" x14ac:dyDescent="0.4">
      <c r="A22" s="1" t="str">
        <f>IF(③T11_ルーム情報!A22="","",③T11_ルーム情報!A22)</f>
        <v/>
      </c>
      <c r="B22" s="1" t="str">
        <f>IF(③T11_ルーム情報!B22="","",③T11_ルーム情報!B22)</f>
        <v>S10008</v>
      </c>
      <c r="C22" s="1" t="str">
        <f>IF(③T11_ルーム情報!C22="","",③T11_ルーム情報!C22)</f>
        <v>千種本部校</v>
      </c>
      <c r="D22" s="1" t="str">
        <f>IF(③T11_ルーム情報!D22="","",③T11_ルーム情報!D22)</f>
        <v>ROOM3</v>
      </c>
      <c r="E22" s="1">
        <f>IF(③T11_ルーム情報!E22="","",③T11_ルーム情報!E22)</f>
        <v>20</v>
      </c>
      <c r="F22" s="1" t="str">
        <f>IF(③T11_ルーム情報!F22="","",③T11_ルーム情報!F22)</f>
        <v>塾1・小中</v>
      </c>
    </row>
    <row r="23" spans="1:6" x14ac:dyDescent="0.4">
      <c r="A23" s="1" t="str">
        <f>IF(③T11_ルーム情報!A23="","",③T11_ルーム情報!A23)</f>
        <v/>
      </c>
      <c r="B23" s="1" t="str">
        <f>IF(③T11_ルーム情報!B23="","",③T11_ルーム情報!B23)</f>
        <v>S10008</v>
      </c>
      <c r="C23" s="1" t="str">
        <f>IF(③T11_ルーム情報!C23="","",③T11_ルーム情報!C23)</f>
        <v>千種本部校</v>
      </c>
      <c r="D23" s="1" t="str">
        <f>IF(③T11_ルーム情報!D23="","",③T11_ルーム情報!D23)</f>
        <v>ROOM4</v>
      </c>
      <c r="E23" s="1">
        <f>IF(③T11_ルーム情報!E23="","",③T11_ルーム情報!E23)</f>
        <v>33</v>
      </c>
      <c r="F23" s="1" t="str">
        <f>IF(③T11_ルーム情報!F23="","",③T11_ルーム情報!F23)</f>
        <v>塾２・PG</v>
      </c>
    </row>
    <row r="24" spans="1:6" x14ac:dyDescent="0.4">
      <c r="A24" s="1" t="str">
        <f>IF(③T11_ルーム情報!A24="","",③T11_ルーム情報!A24)</f>
        <v/>
      </c>
      <c r="B24" s="1" t="str">
        <f>IF(③T11_ルーム情報!B24="","",③T11_ルーム情報!B24)</f>
        <v>S10008</v>
      </c>
      <c r="C24" s="1" t="str">
        <f>IF(③T11_ルーム情報!C24="","",③T11_ルーム情報!C24)</f>
        <v>千種本部校</v>
      </c>
      <c r="D24" s="1" t="str">
        <f>IF(③T11_ルーム情報!D24="","",③T11_ルーム情報!D24)</f>
        <v>ROOM5</v>
      </c>
      <c r="E24" s="1">
        <f>IF(③T11_ルーム情報!E24="","",③T11_ルーム情報!E24)</f>
        <v>2</v>
      </c>
      <c r="F24" s="1" t="str">
        <f>IF(③T11_ルーム情報!F24="","",③T11_ルーム情報!F24)</f>
        <v>ゲイツ・マンツー</v>
      </c>
    </row>
    <row r="25" spans="1:6" x14ac:dyDescent="0.4">
      <c r="A25" s="1" t="str">
        <f>IF(③T11_ルーム情報!A25="","",③T11_ルーム情報!A25)</f>
        <v/>
      </c>
      <c r="B25" s="1" t="str">
        <f>IF(③T11_ルーム情報!B25="","",③T11_ルーム情報!B25)</f>
        <v>S10008</v>
      </c>
      <c r="C25" s="1" t="str">
        <f>IF(③T11_ルーム情報!C25="","",③T11_ルーム情報!C25)</f>
        <v>千種本部校</v>
      </c>
      <c r="D25" s="1" t="str">
        <f>IF(③T11_ルーム情報!D25="","",③T11_ルーム情報!D25)</f>
        <v>ROOM6</v>
      </c>
      <c r="E25" s="1">
        <f>IF(③T11_ルーム情報!E25="","",③T11_ルーム情報!E25)</f>
        <v>12</v>
      </c>
      <c r="F25" s="1" t="str">
        <f>IF(③T11_ルーム情報!F25="","",③T11_ルーム情報!F25)</f>
        <v>アン</v>
      </c>
    </row>
    <row r="26" spans="1:6" x14ac:dyDescent="0.4">
      <c r="A26" s="1" t="str">
        <f>IF(③T11_ルーム情報!A26="","",③T11_ルーム情報!A26)</f>
        <v/>
      </c>
      <c r="B26" s="1" t="str">
        <f>IF(③T11_ルーム情報!B26="","",③T11_ルーム情報!B26)</f>
        <v>S10008</v>
      </c>
      <c r="C26" s="1" t="str">
        <f>IF(③T11_ルーム情報!C26="","",③T11_ルーム情報!C26)</f>
        <v>千種本部校</v>
      </c>
      <c r="D26" s="1" t="str">
        <f>IF(③T11_ルーム情報!D26="","",③T11_ルーム情報!D26)</f>
        <v>ROOM7</v>
      </c>
      <c r="E26" s="1">
        <f>IF(③T11_ルーム情報!E26="","",③T11_ルーム情報!E26)</f>
        <v>12</v>
      </c>
      <c r="F26" s="1" t="str">
        <f>IF(③T11_ルーム情報!F26="","",③T11_ルーム情報!F26)</f>
        <v>塾3・キッズ</v>
      </c>
    </row>
    <row r="27" spans="1:6" x14ac:dyDescent="0.4">
      <c r="A27" s="1" t="str">
        <f>IF(③T11_ルーム情報!A27="","",③T11_ルーム情報!A27)</f>
        <v/>
      </c>
      <c r="B27" s="1" t="str">
        <f>IF(③T11_ルーム情報!B27="","",③T11_ルーム情報!B27)</f>
        <v>S10009</v>
      </c>
      <c r="C27" s="1" t="str">
        <f>IF(③T11_ルーム情報!C27="","",③T11_ルーム情報!C27)</f>
        <v>豊明三崎校</v>
      </c>
      <c r="D27" s="1" t="str">
        <f>IF(③T11_ルーム情報!D27="","",③T11_ルーム情報!D27)</f>
        <v>ROOM1</v>
      </c>
      <c r="E27" s="1">
        <f>IF(③T11_ルーム情報!E27="","",③T11_ルーム情報!E27)</f>
        <v>13</v>
      </c>
      <c r="F27" s="1" t="str">
        <f>IF(③T11_ルーム情報!F27="","",③T11_ルーム情報!F27)</f>
        <v>1Fアン</v>
      </c>
    </row>
    <row r="28" spans="1:6" x14ac:dyDescent="0.4">
      <c r="A28" s="1" t="str">
        <f>IF(③T11_ルーム情報!A28="","",③T11_ルーム情報!A28)</f>
        <v/>
      </c>
      <c r="B28" s="1" t="str">
        <f>IF(③T11_ルーム情報!B28="","",③T11_ルーム情報!B28)</f>
        <v>S10009</v>
      </c>
      <c r="C28" s="1" t="str">
        <f>IF(③T11_ルーム情報!C28="","",③T11_ルーム情報!C28)</f>
        <v>豊明三崎校</v>
      </c>
      <c r="D28" s="1" t="str">
        <f>IF(③T11_ルーム情報!D28="","",③T11_ルーム情報!D28)</f>
        <v>ROOM2</v>
      </c>
      <c r="E28" s="1">
        <f>IF(③T11_ルーム情報!E28="","",③T11_ルーム情報!E28)</f>
        <v>13</v>
      </c>
      <c r="F28" s="1" t="str">
        <f>IF(③T11_ルーム情報!F28="","",③T11_ルーム情報!F28)</f>
        <v>2Fそろばん習字</v>
      </c>
    </row>
    <row r="29" spans="1:6" x14ac:dyDescent="0.4">
      <c r="A29" s="1" t="str">
        <f>IF(③T11_ルーム情報!A29="","",③T11_ルーム情報!A29)</f>
        <v/>
      </c>
      <c r="B29" s="1" t="str">
        <f>IF(③T11_ルーム情報!B29="","",③T11_ルーム情報!B29)</f>
        <v>S10010</v>
      </c>
      <c r="C29" s="1" t="str">
        <f>IF(③T11_ルーム情報!C29="","",③T11_ルーム情報!C29)</f>
        <v>三郷校</v>
      </c>
      <c r="D29" s="1" t="str">
        <f>IF(③T11_ルーム情報!D29="","",③T11_ルーム情報!D29)</f>
        <v>ROOM1</v>
      </c>
      <c r="E29" s="1">
        <f>IF(③T11_ルーム情報!E29="","",③T11_ルーム情報!E29)</f>
        <v>12</v>
      </c>
      <c r="F29" s="1" t="str">
        <f>IF(③T11_ルーム情報!F29="","",③T11_ルーム情報!F29)</f>
        <v>1Fそろばん</v>
      </c>
    </row>
    <row r="30" spans="1:6" x14ac:dyDescent="0.4">
      <c r="A30" s="1" t="str">
        <f>IF(③T11_ルーム情報!A30="","",③T11_ルーム情報!A30)</f>
        <v/>
      </c>
      <c r="B30" s="1" t="str">
        <f>IF(③T11_ルーム情報!B30="","",③T11_ルーム情報!B30)</f>
        <v>S10010</v>
      </c>
      <c r="C30" s="1" t="str">
        <f>IF(③T11_ルーム情報!C30="","",③T11_ルーム情報!C30)</f>
        <v>三郷校</v>
      </c>
      <c r="D30" s="1" t="str">
        <f>IF(③T11_ルーム情報!D30="","",③T11_ルーム情報!D30)</f>
        <v>ROOM2</v>
      </c>
      <c r="E30" s="1">
        <f>IF(③T11_ルーム情報!E30="","",③T11_ルーム情報!E30)</f>
        <v>9</v>
      </c>
      <c r="F30" s="1" t="str">
        <f>IF(③T11_ルーム情報!F30="","",③T11_ルーム情報!F30)</f>
        <v>3Fアン</v>
      </c>
    </row>
    <row r="31" spans="1:6" x14ac:dyDescent="0.4">
      <c r="A31" s="1" t="str">
        <f>IF(③T11_ルーム情報!A31="","",③T11_ルーム情報!A31)</f>
        <v/>
      </c>
      <c r="B31" s="1" t="str">
        <f>IF(③T11_ルーム情報!B31="","",③T11_ルーム情報!B31)</f>
        <v>S10011</v>
      </c>
      <c r="C31" s="1" t="str">
        <f>IF(③T11_ルーム情報!C31="","",③T11_ルーム情報!C31)</f>
        <v>瀬戸山口校</v>
      </c>
      <c r="D31" s="1" t="str">
        <f>IF(③T11_ルーム情報!D31="","",③T11_ルーム情報!D31)</f>
        <v>ROOM1</v>
      </c>
      <c r="E31" s="1">
        <f>IF(③T11_ルーム情報!E31="","",③T11_ルーム情報!E31)</f>
        <v>12</v>
      </c>
      <c r="F31" s="1" t="str">
        <f>IF(③T11_ルーム情報!F31="","",③T11_ルーム情報!F31)</f>
        <v>そろばん筆っこ</v>
      </c>
    </row>
    <row r="32" spans="1:6" x14ac:dyDescent="0.4">
      <c r="A32" s="1" t="str">
        <f>IF(③T11_ルーム情報!A32="","",③T11_ルーム情報!A32)</f>
        <v/>
      </c>
      <c r="B32" s="1" t="str">
        <f>IF(③T11_ルーム情報!B32="","",③T11_ルーム情報!B32)</f>
        <v>S10011</v>
      </c>
      <c r="C32" s="1" t="str">
        <f>IF(③T11_ルーム情報!C32="","",③T11_ルーム情報!C32)</f>
        <v>瀬戸山口校</v>
      </c>
      <c r="D32" s="1" t="str">
        <f>IF(③T11_ルーム情報!D32="","",③T11_ルーム情報!D32)</f>
        <v>ROOM2</v>
      </c>
      <c r="E32" s="1">
        <f>IF(③T11_ルーム情報!E32="","",③T11_ルーム情報!E32)</f>
        <v>22</v>
      </c>
      <c r="F32" s="1" t="str">
        <f>IF(③T11_ルーム情報!F32="","",③T11_ルーム情報!F32)</f>
        <v>アンイングリッシュ</v>
      </c>
    </row>
    <row r="33" spans="1:6" x14ac:dyDescent="0.4">
      <c r="A33" s="1" t="str">
        <f>IF(③T11_ルーム情報!A33="","",③T11_ルーム情報!A33)</f>
        <v/>
      </c>
      <c r="B33" s="1" t="str">
        <f>IF(③T11_ルーム情報!B33="","",③T11_ルーム情報!B33)</f>
        <v>S10011</v>
      </c>
      <c r="C33" s="1" t="str">
        <f>IF(③T11_ルーム情報!C33="","",③T11_ルーム情報!C33)</f>
        <v>瀬戸山口校</v>
      </c>
      <c r="D33" s="1" t="str">
        <f>IF(③T11_ルーム情報!D33="","",③T11_ルーム情報!D33)</f>
        <v>ROOM3</v>
      </c>
      <c r="E33" s="1">
        <f>IF(③T11_ルーム情報!E33="","",③T11_ルーム情報!E33)</f>
        <v>16</v>
      </c>
      <c r="F33" s="1" t="str">
        <f>IF(③T11_ルーム情報!F33="","",③T11_ルーム情報!F33)</f>
        <v>進学ジム・さんこく・プログラミング</v>
      </c>
    </row>
    <row r="34" spans="1:6" x14ac:dyDescent="0.4">
      <c r="A34" s="1" t="str">
        <f>IF(③T11_ルーム情報!A34="","",③T11_ルーム情報!A34)</f>
        <v/>
      </c>
      <c r="B34" s="1" t="str">
        <f>IF(③T11_ルーム情報!B34="","",③T11_ルーム情報!B34)</f>
        <v>S10012</v>
      </c>
      <c r="C34" s="1" t="str">
        <f>IF(③T11_ルーム情報!C34="","",③T11_ルーム情報!C34)</f>
        <v>四軒家校</v>
      </c>
      <c r="D34" s="1" t="str">
        <f>IF(③T11_ルーム情報!D34="","",③T11_ルーム情報!D34)</f>
        <v>ROOM1</v>
      </c>
      <c r="E34" s="1">
        <f>IF(③T11_ルーム情報!E34="","",③T11_ルーム情報!E34)</f>
        <v>42</v>
      </c>
      <c r="F34" s="1" t="str">
        <f>IF(③T11_ルーム情報!F34="","",③T11_ルーム情報!F34)</f>
        <v>1階塾</v>
      </c>
    </row>
    <row r="35" spans="1:6" x14ac:dyDescent="0.4">
      <c r="A35" s="1" t="str">
        <f>IF(③T11_ルーム情報!A35="","",③T11_ルーム情報!A35)</f>
        <v/>
      </c>
      <c r="B35" s="1" t="str">
        <f>IF(③T11_ルーム情報!B35="","",③T11_ルーム情報!B35)</f>
        <v>S10012</v>
      </c>
      <c r="C35" s="1" t="str">
        <f>IF(③T11_ルーム情報!C35="","",③T11_ルーム情報!C35)</f>
        <v>四軒家校</v>
      </c>
      <c r="D35" s="1" t="str">
        <f>IF(③T11_ルーム情報!D35="","",③T11_ルーム情報!D35)</f>
        <v>ROOM2</v>
      </c>
      <c r="E35" s="1">
        <f>IF(③T11_ルーム情報!E35="","",③T11_ルーム情報!E35)</f>
        <v>18</v>
      </c>
      <c r="F35" s="1" t="str">
        <f>IF(③T11_ルーム情報!F35="","",③T11_ルーム情報!F35)</f>
        <v>2階アン</v>
      </c>
    </row>
    <row r="36" spans="1:6" x14ac:dyDescent="0.4">
      <c r="A36" s="1" t="str">
        <f>IF(③T11_ルーム情報!A36="","",③T11_ルーム情報!A36)</f>
        <v/>
      </c>
      <c r="B36" s="1" t="str">
        <f>IF(③T11_ルーム情報!B36="","",③T11_ルーム情報!B36)</f>
        <v>S10012</v>
      </c>
      <c r="C36" s="1" t="str">
        <f>IF(③T11_ルーム情報!C36="","",③T11_ルーム情報!C36)</f>
        <v>四軒家校</v>
      </c>
      <c r="D36" s="1" t="str">
        <f>IF(③T11_ルーム情報!D36="","",③T11_ルーム情報!D36)</f>
        <v>ROOM3</v>
      </c>
      <c r="E36" s="1">
        <f>IF(③T11_ルーム情報!E36="","",③T11_ルーム情報!E36)</f>
        <v>16</v>
      </c>
      <c r="F36" s="1" t="str">
        <f>IF(③T11_ルーム情報!F36="","",③T11_ルーム情報!F36)</f>
        <v>3階そろ筆</v>
      </c>
    </row>
    <row r="37" spans="1:6" x14ac:dyDescent="0.4">
      <c r="A37" s="1" t="str">
        <f>IF(③T11_ルーム情報!A37="","",③T11_ルーム情報!A37)</f>
        <v/>
      </c>
      <c r="B37" s="1" t="str">
        <f>IF(③T11_ルーム情報!B37="","",③T11_ルーム情報!B37)</f>
        <v>S10013</v>
      </c>
      <c r="C37" s="1" t="str">
        <f>IF(③T11_ルーム情報!C37="","",③T11_ルーム情報!C37)</f>
        <v>新守山校</v>
      </c>
      <c r="D37" s="1" t="str">
        <f>IF(③T11_ルーム情報!D37="","",③T11_ルーム情報!D37)</f>
        <v>ROOM1</v>
      </c>
      <c r="E37" s="1">
        <f>IF(③T11_ルーム情報!E37="","",③T11_ルーム情報!E37)</f>
        <v>11</v>
      </c>
      <c r="F37" s="1" t="str">
        <f>IF(③T11_ルーム情報!F37="","",③T11_ルーム情報!F37)</f>
        <v>アン</v>
      </c>
    </row>
    <row r="38" spans="1:6" x14ac:dyDescent="0.4">
      <c r="A38" s="1" t="str">
        <f>IF(③T11_ルーム情報!A38="","",③T11_ルーム情報!A38)</f>
        <v/>
      </c>
      <c r="B38" s="1" t="str">
        <f>IF(③T11_ルーム情報!B38="","",③T11_ルーム情報!B38)</f>
        <v>S10013</v>
      </c>
      <c r="C38" s="1" t="str">
        <f>IF(③T11_ルーム情報!C38="","",③T11_ルーム情報!C38)</f>
        <v>新守山校</v>
      </c>
      <c r="D38" s="1" t="str">
        <f>IF(③T11_ルーム情報!D38="","",③T11_ルーム情報!D38)</f>
        <v>ROOM2</v>
      </c>
      <c r="E38" s="1">
        <f>IF(③T11_ルーム情報!E38="","",③T11_ルーム情報!E38)</f>
        <v>16</v>
      </c>
      <c r="F38" s="1" t="str">
        <f>IF(③T11_ルーム情報!F38="","",③T11_ルーム情報!F38)</f>
        <v>そろばん/習字</v>
      </c>
    </row>
    <row r="39" spans="1:6" x14ac:dyDescent="0.4">
      <c r="A39" s="1" t="str">
        <f>IF(③T11_ルーム情報!A39="","",③T11_ルーム情報!A39)</f>
        <v/>
      </c>
      <c r="B39" s="1" t="str">
        <f>IF(③T11_ルーム情報!B39="","",③T11_ルーム情報!B39)</f>
        <v>S10016</v>
      </c>
      <c r="C39" s="1" t="str">
        <f>IF(③T11_ルーム情報!C39="","",③T11_ルーム情報!C39)</f>
        <v>甚目寺校</v>
      </c>
      <c r="D39" s="1" t="str">
        <f>IF(③T11_ルーム情報!D39="","",③T11_ルーム情報!D39)</f>
        <v>ROOM1</v>
      </c>
      <c r="E39" s="1">
        <f>IF(③T11_ルーム情報!E39="","",③T11_ルーム情報!E39)</f>
        <v>11</v>
      </c>
      <c r="F39" s="1" t="str">
        <f>IF(③T11_ルーム情報!F39="","",③T11_ルーム情報!F39)</f>
        <v>アン/習字</v>
      </c>
    </row>
    <row r="40" spans="1:6" x14ac:dyDescent="0.4">
      <c r="A40" s="1" t="str">
        <f>IF(③T11_ルーム情報!A40="","",③T11_ルーム情報!A40)</f>
        <v/>
      </c>
      <c r="B40" s="1" t="str">
        <f>IF(③T11_ルーム情報!B40="","",③T11_ルーム情報!B40)</f>
        <v>S10016</v>
      </c>
      <c r="C40" s="1" t="str">
        <f>IF(③T11_ルーム情報!C40="","",③T11_ルーム情報!C40)</f>
        <v>甚目寺校</v>
      </c>
      <c r="D40" s="1" t="str">
        <f>IF(③T11_ルーム情報!D40="","",③T11_ルーム情報!D40)</f>
        <v>ROOM2</v>
      </c>
      <c r="E40" s="1">
        <f>IF(③T11_ルーム情報!E40="","",③T11_ルーム情報!E40)</f>
        <v>14</v>
      </c>
      <c r="F40" s="1" t="str">
        <f>IF(③T11_ルーム情報!F40="","",③T11_ルーム情報!F40)</f>
        <v>そろばん</v>
      </c>
    </row>
    <row r="41" spans="1:6" x14ac:dyDescent="0.4">
      <c r="A41" s="1" t="str">
        <f>IF(③T11_ルーム情報!A41="","",③T11_ルーム情報!A41)</f>
        <v/>
      </c>
      <c r="B41" s="1" t="str">
        <f>IF(③T11_ルーム情報!B41="","",③T11_ルーム情報!B41)</f>
        <v>S10017</v>
      </c>
      <c r="C41" s="1" t="str">
        <f>IF(③T11_ルーム情報!C41="","",③T11_ルーム情報!C41)</f>
        <v>瀬戸本部校</v>
      </c>
      <c r="D41" s="1" t="str">
        <f>IF(③T11_ルーム情報!D41="","",③T11_ルーム情報!D41)</f>
        <v>ROOM1</v>
      </c>
      <c r="E41" s="1">
        <f>IF(③T11_ルーム情報!E41="","",③T11_ルーム情報!E41)</f>
        <v>16</v>
      </c>
      <c r="F41" s="1" t="str">
        <f>IF(③T11_ルーム情報!F41="","",③T11_ルーム情報!F41)</f>
        <v>2Fそろばん</v>
      </c>
    </row>
    <row r="42" spans="1:6" x14ac:dyDescent="0.4">
      <c r="A42" s="1" t="str">
        <f>IF(③T11_ルーム情報!A42="","",③T11_ルーム情報!A42)</f>
        <v/>
      </c>
      <c r="B42" s="1" t="str">
        <f>IF(③T11_ルーム情報!B42="","",③T11_ルーム情報!B42)</f>
        <v>S10017</v>
      </c>
      <c r="C42" s="1" t="str">
        <f>IF(③T11_ルーム情報!C42="","",③T11_ルーム情報!C42)</f>
        <v>瀬戸本部校</v>
      </c>
      <c r="D42" s="1" t="str">
        <f>IF(③T11_ルーム情報!D42="","",③T11_ルーム情報!D42)</f>
        <v>ROOM2</v>
      </c>
      <c r="E42" s="1">
        <f>IF(③T11_ルーム情報!E42="","",③T11_ルーム情報!E42)</f>
        <v>20</v>
      </c>
      <c r="F42" s="1" t="str">
        <f>IF(③T11_ルーム情報!F42="","",③T11_ルーム情報!F42)</f>
        <v>２F筆っこ</v>
      </c>
    </row>
    <row r="43" spans="1:6" x14ac:dyDescent="0.4">
      <c r="A43" s="1" t="str">
        <f>IF(③T11_ルーム情報!A43="","",③T11_ルーム情報!A43)</f>
        <v/>
      </c>
      <c r="B43" s="1" t="str">
        <f>IF(③T11_ルーム情報!B43="","",③T11_ルーム情報!B43)</f>
        <v>S10017</v>
      </c>
      <c r="C43" s="1" t="str">
        <f>IF(③T11_ルーム情報!C43="","",③T11_ルーム情報!C43)</f>
        <v>瀬戸本部校</v>
      </c>
      <c r="D43" s="1" t="str">
        <f>IF(③T11_ルーム情報!D43="","",③T11_ルーム情報!D43)</f>
        <v>ROOM3</v>
      </c>
      <c r="E43" s="1">
        <f>IF(③T11_ルーム情報!E43="","",③T11_ルーム情報!E43)</f>
        <v>18</v>
      </c>
      <c r="F43" s="1" t="str">
        <f>IF(③T11_ルーム情報!F43="","",③T11_ルーム情報!F43)</f>
        <v>2Fアンイングリッシュ</v>
      </c>
    </row>
    <row r="44" spans="1:6" x14ac:dyDescent="0.4">
      <c r="A44" s="1" t="str">
        <f>IF(③T11_ルーム情報!A44="","",③T11_ルーム情報!A44)</f>
        <v/>
      </c>
      <c r="B44" s="1" t="str">
        <f>IF(③T11_ルーム情報!B44="","",③T11_ルーム情報!B44)</f>
        <v>S10017</v>
      </c>
      <c r="C44" s="1" t="str">
        <f>IF(③T11_ルーム情報!C44="","",③T11_ルーム情報!C44)</f>
        <v>瀬戸本部校</v>
      </c>
      <c r="D44" s="1" t="str">
        <f>IF(③T11_ルーム情報!D44="","",③T11_ルーム情報!D44)</f>
        <v>ROOM4</v>
      </c>
      <c r="E44" s="1">
        <f>IF(③T11_ルーム情報!E44="","",③T11_ルーム情報!E44)</f>
        <v>41</v>
      </c>
      <c r="F44" s="1" t="str">
        <f>IF(③T11_ルーム情報!F44="","",③T11_ルーム情報!F44)</f>
        <v>1F進学ジム・さんこく・プログラミング</v>
      </c>
    </row>
    <row r="45" spans="1:6" x14ac:dyDescent="0.4">
      <c r="A45" s="1" t="str">
        <f>IF(③T11_ルーム情報!A45="","",③T11_ルーム情報!A45)</f>
        <v/>
      </c>
      <c r="B45" s="1" t="str">
        <f>IF(③T11_ルーム情報!B45="","",③T11_ルーム情報!B45)</f>
        <v>S10017</v>
      </c>
      <c r="C45" s="1" t="str">
        <f>IF(③T11_ルーム情報!C45="","",③T11_ルーム情報!C45)</f>
        <v>瀬戸本部校</v>
      </c>
      <c r="D45" s="1" t="str">
        <f>IF(③T11_ルーム情報!D45="","",③T11_ルーム情報!D45)</f>
        <v>ROOM5</v>
      </c>
      <c r="E45" s="1">
        <f>IF(③T11_ルーム情報!E45="","",③T11_ルーム情報!E45)</f>
        <v>16</v>
      </c>
      <c r="F45" s="1" t="str">
        <f>IF(③T11_ルーム情報!F45="","",③T11_ルーム情報!F45)</f>
        <v>２F高校生自習席（ブース）</v>
      </c>
    </row>
    <row r="46" spans="1:6" x14ac:dyDescent="0.4">
      <c r="A46" s="1" t="str">
        <f>IF(③T11_ルーム情報!A46="","",③T11_ルーム情報!A46)</f>
        <v/>
      </c>
      <c r="B46" s="1" t="str">
        <f>IF(③T11_ルーム情報!B46="","",③T11_ルーム情報!B46)</f>
        <v>S10017</v>
      </c>
      <c r="C46" s="1" t="str">
        <f>IF(③T11_ルーム情報!C46="","",③T11_ルーム情報!C46)</f>
        <v>瀬戸本部校</v>
      </c>
      <c r="D46" s="1" t="str">
        <f>IF(③T11_ルーム情報!D46="","",③T11_ルーム情報!D46)</f>
        <v>ROOM6</v>
      </c>
      <c r="E46" s="1">
        <f>IF(③T11_ルーム情報!E46="","",③T11_ルーム情報!E46)</f>
        <v>0</v>
      </c>
      <c r="F46" s="1" t="str">
        <f>IF(③T11_ルーム情報!F46="","",③T11_ルーム情報!F46)</f>
        <v>2F部屋（倉庫）</v>
      </c>
    </row>
    <row r="47" spans="1:6" x14ac:dyDescent="0.4">
      <c r="A47" s="1" t="str">
        <f>IF(③T11_ルーム情報!A47="","",③T11_ルーム情報!A47)</f>
        <v/>
      </c>
      <c r="B47" s="1" t="str">
        <f>IF(③T11_ルーム情報!B47="","",③T11_ルーム情報!B47)</f>
        <v>S10018</v>
      </c>
      <c r="C47" s="1" t="str">
        <f>IF(③T11_ルーム情報!C47="","",③T11_ルーム情報!C47)</f>
        <v>春日井駅前校</v>
      </c>
      <c r="D47" s="1" t="str">
        <f>IF(③T11_ルーム情報!D47="","",③T11_ルーム情報!D47)</f>
        <v>ROOM1</v>
      </c>
      <c r="E47" s="1">
        <f>IF(③T11_ルーム情報!E47="","",③T11_ルーム情報!E47)</f>
        <v>12</v>
      </c>
      <c r="F47" s="1" t="str">
        <f>IF(③T11_ルーム情報!F47="","",③T11_ルーム情報!F47)</f>
        <v>アン/そろ</v>
      </c>
    </row>
    <row r="48" spans="1:6" x14ac:dyDescent="0.4">
      <c r="A48" s="1" t="str">
        <f>IF(③T11_ルーム情報!A48="","",③T11_ルーム情報!A48)</f>
        <v/>
      </c>
      <c r="B48" s="1" t="str">
        <f>IF(③T11_ルーム情報!B48="","",③T11_ルーム情報!B48)</f>
        <v>S10019</v>
      </c>
      <c r="C48" s="1" t="str">
        <f>IF(③T11_ルーム情報!C48="","",③T11_ルーム情報!C48)</f>
        <v>守山本部校</v>
      </c>
      <c r="D48" s="1" t="str">
        <f>IF(③T11_ルーム情報!D48="","",③T11_ルーム情報!D48)</f>
        <v>ROOM1</v>
      </c>
      <c r="E48" s="1">
        <f>IF(③T11_ルーム情報!E48="","",③T11_ルーム情報!E48)</f>
        <v>30</v>
      </c>
      <c r="F48" s="1" t="str">
        <f>IF(③T11_ルーム情報!F48="","",③T11_ルーム情報!F48)</f>
        <v>1F塾</v>
      </c>
    </row>
    <row r="49" spans="1:6" x14ac:dyDescent="0.4">
      <c r="A49" s="1" t="str">
        <f>IF(③T11_ルーム情報!A49="","",③T11_ルーム情報!A49)</f>
        <v/>
      </c>
      <c r="B49" s="1" t="str">
        <f>IF(③T11_ルーム情報!B49="","",③T11_ルーム情報!B49)</f>
        <v>S10019</v>
      </c>
      <c r="C49" s="1" t="str">
        <f>IF(③T11_ルーム情報!C49="","",③T11_ルーム情報!C49)</f>
        <v>守山本部校</v>
      </c>
      <c r="D49" s="1" t="str">
        <f>IF(③T11_ルーム情報!D49="","",③T11_ルーム情報!D49)</f>
        <v>ROOM2</v>
      </c>
      <c r="E49" s="1">
        <f>IF(③T11_ルーム情報!E49="","",③T11_ルーム情報!E49)</f>
        <v>14</v>
      </c>
      <c r="F49" s="1" t="str">
        <f>IF(③T11_ルーム情報!F49="","",③T11_ルーム情報!F49)</f>
        <v>1Fアン・塾</v>
      </c>
    </row>
    <row r="50" spans="1:6" x14ac:dyDescent="0.4">
      <c r="A50" s="1" t="str">
        <f>IF(③T11_ルーム情報!A50="","",③T11_ルーム情報!A50)</f>
        <v/>
      </c>
      <c r="B50" s="1" t="str">
        <f>IF(③T11_ルーム情報!B50="","",③T11_ルーム情報!B50)</f>
        <v>S10019</v>
      </c>
      <c r="C50" s="1" t="str">
        <f>IF(③T11_ルーム情報!C50="","",③T11_ルーム情報!C50)</f>
        <v>守山本部校</v>
      </c>
      <c r="D50" s="1" t="str">
        <f>IF(③T11_ルーム情報!D50="","",③T11_ルーム情報!D50)</f>
        <v>ROOM3</v>
      </c>
      <c r="E50" s="1">
        <f>IF(③T11_ルーム情報!E50="","",③T11_ルーム情報!E50)</f>
        <v>27</v>
      </c>
      <c r="F50" s="1" t="str">
        <f>IF(③T11_ルーム情報!F50="","",③T11_ルーム情報!F50)</f>
        <v>2Fそろばん・習字・塾</v>
      </c>
    </row>
    <row r="51" spans="1:6" x14ac:dyDescent="0.4">
      <c r="A51" s="1" t="str">
        <f>IF(③T11_ルーム情報!A51="","",③T11_ルーム情報!A51)</f>
        <v/>
      </c>
      <c r="B51" s="1" t="str">
        <f>IF(③T11_ルーム情報!B51="","",③T11_ルーム情報!B51)</f>
        <v>S10019</v>
      </c>
      <c r="C51" s="1" t="str">
        <f>IF(③T11_ルーム情報!C51="","",③T11_ルーム情報!C51)</f>
        <v>守山本部校</v>
      </c>
      <c r="D51" s="1" t="str">
        <f>IF(③T11_ルーム情報!D51="","",③T11_ルーム情報!D51)</f>
        <v>ROOM4</v>
      </c>
      <c r="E51" s="1">
        <f>IF(③T11_ルーム情報!E51="","",③T11_ルーム情報!E51)</f>
        <v>7</v>
      </c>
      <c r="F51" s="1" t="str">
        <f>IF(③T11_ルーム情報!F51="","",③T11_ルーム情報!F51)</f>
        <v>2F習字・塾</v>
      </c>
    </row>
    <row r="52" spans="1:6" x14ac:dyDescent="0.4">
      <c r="A52" s="1" t="str">
        <f>IF(③T11_ルーム情報!A52="","",③T11_ルーム情報!A52)</f>
        <v/>
      </c>
      <c r="B52" s="1" t="str">
        <f>IF(③T11_ルーム情報!B52="","",③T11_ルーム情報!B52)</f>
        <v>S10019</v>
      </c>
      <c r="C52" s="1" t="str">
        <f>IF(③T11_ルーム情報!C52="","",③T11_ルーム情報!C52)</f>
        <v>守山本部校</v>
      </c>
      <c r="D52" s="1" t="str">
        <f>IF(③T11_ルーム情報!D52="","",③T11_ルーム情報!D52)</f>
        <v>ROOM5</v>
      </c>
      <c r="E52" s="1">
        <f>IF(③T11_ルーム情報!E52="","",③T11_ルーム情報!E52)</f>
        <v>8</v>
      </c>
      <c r="F52" s="1" t="str">
        <f>IF(③T11_ルーム情報!F52="","",③T11_ルーム情報!F52)</f>
        <v>3Fアン・塾</v>
      </c>
    </row>
    <row r="53" spans="1:6" x14ac:dyDescent="0.4">
      <c r="A53" s="1" t="str">
        <f>IF(③T11_ルーム情報!A53="","",③T11_ルーム情報!A53)</f>
        <v/>
      </c>
      <c r="B53" s="1" t="str">
        <f>IF(③T11_ルーム情報!B53="","",③T11_ルーム情報!B53)</f>
        <v>S10020</v>
      </c>
      <c r="C53" s="1" t="str">
        <f>IF(③T11_ルーム情報!C53="","",③T11_ルーム情報!C53)</f>
        <v>ドンキ小牧教室</v>
      </c>
      <c r="D53" s="1" t="str">
        <f>IF(③T11_ルーム情報!D53="","",③T11_ルーム情報!D53)</f>
        <v>ROOM1</v>
      </c>
      <c r="E53" s="1">
        <f>IF(③T11_ルーム情報!E53="","",③T11_ルーム情報!E53)</f>
        <v>11</v>
      </c>
      <c r="F53" s="1" t="str">
        <f>IF(③T11_ルーム情報!F53="","",③T11_ルーム情報!F53)</f>
        <v>アン部屋</v>
      </c>
    </row>
    <row r="54" spans="1:6" x14ac:dyDescent="0.4">
      <c r="A54" s="1" t="str">
        <f>IF(③T11_ルーム情報!A54="","",③T11_ルーム情報!A54)</f>
        <v/>
      </c>
      <c r="B54" s="1" t="str">
        <f>IF(③T11_ルーム情報!B54="","",③T11_ルーム情報!B54)</f>
        <v>S10020</v>
      </c>
      <c r="C54" s="1" t="str">
        <f>IF(③T11_ルーム情報!C54="","",③T11_ルーム情報!C54)</f>
        <v>ドンキ小牧教室</v>
      </c>
      <c r="D54" s="1" t="str">
        <f>IF(③T11_ルーム情報!D54="","",③T11_ルーム情報!D54)</f>
        <v>ROOM2</v>
      </c>
      <c r="E54" s="1">
        <f>IF(③T11_ルーム情報!E54="","",③T11_ルーム情報!E54)</f>
        <v>12</v>
      </c>
      <c r="F54" s="1" t="str">
        <f>IF(③T11_ルーム情報!F54="","",③T11_ルーム情報!F54)</f>
        <v>そろばん・習字</v>
      </c>
    </row>
    <row r="55" spans="1:6" x14ac:dyDescent="0.4">
      <c r="A55" s="1" t="str">
        <f>IF(③T11_ルーム情報!A55="","",③T11_ルーム情報!A55)</f>
        <v/>
      </c>
      <c r="B55" s="1" t="str">
        <f>IF(③T11_ルーム情報!B55="","",③T11_ルーム情報!B55)</f>
        <v>S10021</v>
      </c>
      <c r="C55" s="1" t="str">
        <f>IF(③T11_ルーム情報!C55="","",③T11_ルーム情報!C55)</f>
        <v>島田橋西校</v>
      </c>
      <c r="D55" s="1" t="str">
        <f>IF(③T11_ルーム情報!D55="","",③T11_ルーム情報!D55)</f>
        <v>ROOM1</v>
      </c>
      <c r="E55" s="1">
        <f>IF(③T11_ルーム情報!E55="","",③T11_ルーム情報!E55)</f>
        <v>14</v>
      </c>
      <c r="F55" s="1" t="str">
        <f>IF(③T11_ルーム情報!F55="","",③T11_ルーム情報!F55)</f>
        <v>アン</v>
      </c>
    </row>
    <row r="56" spans="1:6" x14ac:dyDescent="0.4">
      <c r="A56" s="1" t="str">
        <f>IF(③T11_ルーム情報!A56="","",③T11_ルーム情報!A56)</f>
        <v/>
      </c>
      <c r="B56" s="1" t="str">
        <f>IF(③T11_ルーム情報!B56="","",③T11_ルーム情報!B56)</f>
        <v>S10021</v>
      </c>
      <c r="C56" s="1" t="str">
        <f>IF(③T11_ルーム情報!C56="","",③T11_ルーム情報!C56)</f>
        <v>島田橋西校</v>
      </c>
      <c r="D56" s="1" t="str">
        <f>IF(③T11_ルーム情報!D56="","",③T11_ルーム情報!D56)</f>
        <v>ROOM2</v>
      </c>
      <c r="E56" s="1">
        <f>IF(③T11_ルーム情報!E56="","",③T11_ルーム情報!E56)</f>
        <v>17</v>
      </c>
      <c r="F56" s="1" t="str">
        <f>IF(③T11_ルーム情報!F56="","",③T11_ルーム情報!F56)</f>
        <v>そろ/筆</v>
      </c>
    </row>
    <row r="57" spans="1:6" x14ac:dyDescent="0.4">
      <c r="A57" s="1" t="str">
        <f>IF(③T11_ルーム情報!A57="","",③T11_ルーム情報!A57)</f>
        <v/>
      </c>
      <c r="B57" s="1" t="str">
        <f>IF(③T11_ルーム情報!B57="","",③T11_ルーム情報!B57)</f>
        <v>S10022</v>
      </c>
      <c r="C57" s="1" t="str">
        <f>IF(③T11_ルーム情報!C57="","",③T11_ルーム情報!C57)</f>
        <v>一宮千秋校</v>
      </c>
      <c r="D57" s="1" t="str">
        <f>IF(③T11_ルーム情報!D57="","",③T11_ルーム情報!D57)</f>
        <v>ROOM1</v>
      </c>
      <c r="E57" s="1">
        <f>IF(③T11_ルーム情報!E57="","",③T11_ルーム情報!E57)</f>
        <v>12</v>
      </c>
      <c r="F57" s="1" t="str">
        <f>IF(③T11_ルーム情報!F57="","",③T11_ルーム情報!F57)</f>
        <v>アン・そろばん</v>
      </c>
    </row>
    <row r="58" spans="1:6" x14ac:dyDescent="0.4">
      <c r="A58" s="1" t="str">
        <f>IF(③T11_ルーム情報!A58="","",③T11_ルーム情報!A58)</f>
        <v/>
      </c>
      <c r="B58" s="1" t="str">
        <f>IF(③T11_ルーム情報!B58="","",③T11_ルーム情報!B58)</f>
        <v>S10023</v>
      </c>
      <c r="C58" s="1" t="str">
        <f>IF(③T11_ルーム情報!C58="","",③T11_ルーム情報!C58)</f>
        <v>前後校</v>
      </c>
      <c r="D58" s="1" t="str">
        <f>IF(③T11_ルーム情報!D58="","",③T11_ルーム情報!D58)</f>
        <v>ROOM1</v>
      </c>
      <c r="E58" s="1">
        <f>IF(③T11_ルーム情報!E58="","",③T11_ルーム情報!E58)</f>
        <v>16</v>
      </c>
      <c r="F58" s="1" t="str">
        <f>IF(③T11_ルーム情報!F58="","",③T11_ルーム情報!F58)</f>
        <v>アン・そろばん</v>
      </c>
    </row>
    <row r="59" spans="1:6" x14ac:dyDescent="0.4">
      <c r="A59" s="1" t="str">
        <f>IF(③T11_ルーム情報!A59="","",③T11_ルーム情報!A59)</f>
        <v/>
      </c>
      <c r="B59" s="1" t="str">
        <f>IF(③T11_ルーム情報!B59="","",③T11_ルーム情報!B59)</f>
        <v>S10023</v>
      </c>
      <c r="C59" s="1" t="str">
        <f>IF(③T11_ルーム情報!C59="","",③T11_ルーム情報!C59)</f>
        <v>前後校</v>
      </c>
      <c r="D59" s="1" t="str">
        <f>IF(③T11_ルーム情報!D59="","",③T11_ルーム情報!D59)</f>
        <v>ROOM2</v>
      </c>
      <c r="E59" s="1">
        <f>IF(③T11_ルーム情報!E59="","",③T11_ルーム情報!E59)</f>
        <v>31</v>
      </c>
      <c r="F59" s="1" t="str">
        <f>IF(③T11_ルーム情報!F59="","",③T11_ルーム情報!F59)</f>
        <v>塾・プログラミング・習字</v>
      </c>
    </row>
    <row r="60" spans="1:6" x14ac:dyDescent="0.4">
      <c r="A60" s="1" t="str">
        <f>IF(③T11_ルーム情報!A60="","",③T11_ルーム情報!A60)</f>
        <v/>
      </c>
      <c r="B60" s="1" t="str">
        <f>IF(③T11_ルーム情報!B60="","",③T11_ルーム情報!B60)</f>
        <v>S10024</v>
      </c>
      <c r="C60" s="1" t="str">
        <f>IF(③T11_ルーム情報!C60="","",③T11_ルーム情報!C60)</f>
        <v>あま本部校</v>
      </c>
      <c r="D60" s="1" t="str">
        <f>IF(③T11_ルーム情報!D60="","",③T11_ルーム情報!D60)</f>
        <v>ROOM1</v>
      </c>
      <c r="E60" s="1">
        <f>IF(③T11_ルーム情報!E60="","",③T11_ルーム情報!E60)</f>
        <v>18</v>
      </c>
      <c r="F60" s="1" t="str">
        <f>IF(③T11_ルーム情報!F60="","",③T11_ルーム情報!F60)</f>
        <v>一階塾プログラミング将棋</v>
      </c>
    </row>
    <row r="61" spans="1:6" x14ac:dyDescent="0.4">
      <c r="A61" s="1" t="str">
        <f>IF(③T11_ルーム情報!A61="","",③T11_ルーム情報!A61)</f>
        <v/>
      </c>
      <c r="B61" s="1" t="str">
        <f>IF(③T11_ルーム情報!B61="","",③T11_ルーム情報!B61)</f>
        <v>S10024</v>
      </c>
      <c r="C61" s="1" t="str">
        <f>IF(③T11_ルーム情報!C61="","",③T11_ルーム情報!C61)</f>
        <v>あま本部校</v>
      </c>
      <c r="D61" s="1" t="str">
        <f>IF(③T11_ルーム情報!D61="","",③T11_ルーム情報!D61)</f>
        <v>ROOM2</v>
      </c>
      <c r="E61" s="1">
        <f>IF(③T11_ルーム情報!E61="","",③T11_ルーム情報!E61)</f>
        <v>12</v>
      </c>
      <c r="F61" s="1" t="str">
        <f>IF(③T11_ルーム情報!F61="","",③T11_ルーム情報!F61)</f>
        <v>2階アン</v>
      </c>
    </row>
    <row r="62" spans="1:6" x14ac:dyDescent="0.4">
      <c r="A62" s="1" t="str">
        <f>IF(③T11_ルーム情報!A62="","",③T11_ルーム情報!A62)</f>
        <v/>
      </c>
      <c r="B62" s="1" t="str">
        <f>IF(③T11_ルーム情報!B62="","",③T11_ルーム情報!B62)</f>
        <v>S10024</v>
      </c>
      <c r="C62" s="1" t="str">
        <f>IF(③T11_ルーム情報!C62="","",③T11_ルーム情報!C62)</f>
        <v>あま本部校</v>
      </c>
      <c r="D62" s="1" t="str">
        <f>IF(③T11_ルーム情報!D62="","",③T11_ルーム情報!D62)</f>
        <v>ROOM3</v>
      </c>
      <c r="E62" s="1">
        <f>IF(③T11_ルーム情報!E62="","",③T11_ルーム情報!E62)</f>
        <v>22</v>
      </c>
      <c r="F62" s="1" t="str">
        <f>IF(③T11_ルーム情報!F62="","",③T11_ルーム情報!F62)</f>
        <v>2階そろばん筆っこ</v>
      </c>
    </row>
    <row r="63" spans="1:6" x14ac:dyDescent="0.4">
      <c r="A63" s="1" t="str">
        <f>IF(③T11_ルーム情報!A63="","",③T11_ルーム情報!A63)</f>
        <v/>
      </c>
      <c r="B63" s="1" t="str">
        <f>IF(③T11_ルーム情報!B63="","",③T11_ルーム情報!B63)</f>
        <v>S10025</v>
      </c>
      <c r="C63" s="1" t="str">
        <f>IF(③T11_ルーム情報!C63="","",③T11_ルーム情報!C63)</f>
        <v>平針校</v>
      </c>
      <c r="D63" s="1" t="str">
        <f>IF(③T11_ルーム情報!D63="","",③T11_ルーム情報!D63)</f>
        <v>ROOM1</v>
      </c>
      <c r="E63" s="1">
        <f>IF(③T11_ルーム情報!E63="","",③T11_ルーム情報!E63)</f>
        <v>11</v>
      </c>
      <c r="F63" s="1" t="str">
        <f>IF(③T11_ルーム情報!F63="","",③T11_ルーム情報!F63)</f>
        <v>アン/そろ</v>
      </c>
    </row>
    <row r="64" spans="1:6" x14ac:dyDescent="0.4">
      <c r="A64" s="1" t="str">
        <f>IF(③T11_ルーム情報!A64="","",③T11_ルーム情報!A64)</f>
        <v/>
      </c>
      <c r="B64" s="1" t="str">
        <f>IF(③T11_ルーム情報!B64="","",③T11_ルーム情報!B64)</f>
        <v>S10026</v>
      </c>
      <c r="C64" s="1" t="str">
        <f>IF(③T11_ルーム情報!C64="","",③T11_ルーム情報!C64)</f>
        <v>守山金屋校</v>
      </c>
      <c r="D64" s="1" t="str">
        <f>IF(③T11_ルーム情報!D64="","",③T11_ルーム情報!D64)</f>
        <v>ROOM1</v>
      </c>
      <c r="E64" s="1">
        <f>IF(③T11_ルーム情報!E64="","",③T11_ルーム情報!E64)</f>
        <v>12</v>
      </c>
      <c r="F64" s="1" t="str">
        <f>IF(③T11_ルーム情報!F64="","",③T11_ルーム情報!F64)</f>
        <v>アン</v>
      </c>
    </row>
    <row r="65" spans="1:6" x14ac:dyDescent="0.4">
      <c r="A65" s="1" t="str">
        <f>IF(③T11_ルーム情報!A65="","",③T11_ルーム情報!A65)</f>
        <v/>
      </c>
      <c r="B65" s="1" t="str">
        <f>IF(③T11_ルーム情報!B65="","",③T11_ルーム情報!B65)</f>
        <v>S10026</v>
      </c>
      <c r="C65" s="1" t="str">
        <f>IF(③T11_ルーム情報!C65="","",③T11_ルーム情報!C65)</f>
        <v>守山金屋校</v>
      </c>
      <c r="D65" s="1" t="str">
        <f>IF(③T11_ルーム情報!D65="","",③T11_ルーム情報!D65)</f>
        <v>ROOM2</v>
      </c>
      <c r="E65" s="1">
        <f>IF(③T11_ルーム情報!E65="","",③T11_ルーム情報!E65)</f>
        <v>14</v>
      </c>
      <c r="F65" s="1" t="str">
        <f>IF(③T11_ルーム情報!F65="","",③T11_ルーム情報!F65)</f>
        <v>そろばん</v>
      </c>
    </row>
    <row r="66" spans="1:6" x14ac:dyDescent="0.4">
      <c r="A66" s="1" t="str">
        <f>IF(③T11_ルーム情報!A66="","",③T11_ルーム情報!A66)</f>
        <v/>
      </c>
      <c r="B66" s="1" t="str">
        <f>IF(③T11_ルーム情報!B66="","",③T11_ルーム情報!B66)</f>
        <v>S10027</v>
      </c>
      <c r="C66" s="1" t="str">
        <f>IF(③T11_ルーム情報!C66="","",③T11_ルーム情報!C66)</f>
        <v>瑞穂陽明校</v>
      </c>
      <c r="D66" s="1" t="str">
        <f>IF(③T11_ルーム情報!D66="","",③T11_ルーム情報!D66)</f>
        <v>ROOM1</v>
      </c>
      <c r="E66" s="1">
        <f>IF(③T11_ルーム情報!E66="","",③T11_ルーム情報!E66)</f>
        <v>16</v>
      </c>
      <c r="F66" s="1" t="str">
        <f>IF(③T11_ルーム情報!F66="","",③T11_ルーム情報!F66)</f>
        <v>アン/そろ</v>
      </c>
    </row>
    <row r="67" spans="1:6" x14ac:dyDescent="0.4">
      <c r="A67" s="1" t="str">
        <f>IF(③T11_ルーム情報!A67="","",③T11_ルーム情報!A67)</f>
        <v/>
      </c>
      <c r="B67" s="1" t="str">
        <f>IF(③T11_ルーム情報!B67="","",③T11_ルーム情報!B67)</f>
        <v>S10028</v>
      </c>
      <c r="C67" s="1" t="str">
        <f>IF(③T11_ルーム情報!C67="","",③T11_ルーム情報!C67)</f>
        <v>佐古木校</v>
      </c>
      <c r="D67" s="1" t="str">
        <f>IF(③T11_ルーム情報!D67="","",③T11_ルーム情報!D67)</f>
        <v>ROOM1</v>
      </c>
      <c r="E67" s="1">
        <f>IF(③T11_ルーム情報!E67="","",③T11_ルーム情報!E67)</f>
        <v>15</v>
      </c>
      <c r="F67" s="1" t="str">
        <f>IF(③T11_ルーム情報!F67="","",③T11_ルーム情報!F67)</f>
        <v>アン・そろばん</v>
      </c>
    </row>
    <row r="68" spans="1:6" x14ac:dyDescent="0.4">
      <c r="A68" s="1" t="str">
        <f>IF(③T11_ルーム情報!A68="","",③T11_ルーム情報!A68)</f>
        <v/>
      </c>
      <c r="B68" s="1" t="str">
        <f>IF(③T11_ルーム情報!B68="","",③T11_ルーム情報!B68)</f>
        <v>S10030</v>
      </c>
      <c r="C68" s="1" t="str">
        <f>IF(③T11_ルーム情報!C68="","",③T11_ルーム情報!C68)</f>
        <v>南本町校</v>
      </c>
      <c r="D68" s="1" t="str">
        <f>IF(③T11_ルーム情報!D68="","",③T11_ルーム情報!D68)</f>
        <v>ROOM1</v>
      </c>
      <c r="E68" s="1">
        <f>IF(③T11_ルーム情報!E68="","",③T11_ルーム情報!E68)</f>
        <v>20</v>
      </c>
      <c r="F68" s="1" t="str">
        <f>IF(③T11_ルーム情報!F68="","",③T11_ルーム情報!F68)</f>
        <v>アン・そろばん</v>
      </c>
    </row>
    <row r="69" spans="1:6" x14ac:dyDescent="0.4">
      <c r="A69" s="1" t="str">
        <f>IF(③T11_ルーム情報!A69="","",③T11_ルーム情報!A69)</f>
        <v/>
      </c>
      <c r="B69" s="1" t="str">
        <f>IF(③T11_ルーム情報!B69="","",③T11_ルーム情報!B69)</f>
        <v>S10031</v>
      </c>
      <c r="C69" s="1" t="str">
        <f>IF(③T11_ルーム情報!C69="","",③T11_ルーム情報!C69)</f>
        <v>蟹江校</v>
      </c>
      <c r="D69" s="1" t="str">
        <f>IF(③T11_ルーム情報!D69="","",③T11_ルーム情報!D69)</f>
        <v>ROOM1</v>
      </c>
      <c r="E69" s="1">
        <f>IF(③T11_ルーム情報!E69="","",③T11_ルーム情報!E69)</f>
        <v>14</v>
      </c>
      <c r="F69" s="1" t="str">
        <f>IF(③T11_ルーム情報!F69="","",③T11_ルーム情報!F69)</f>
        <v>アン/そろ</v>
      </c>
    </row>
    <row r="70" spans="1:6" x14ac:dyDescent="0.4">
      <c r="A70" s="1" t="str">
        <f>IF(③T11_ルーム情報!A70="","",③T11_ルーム情報!A70)</f>
        <v/>
      </c>
      <c r="B70" s="1" t="str">
        <f>IF(③T11_ルーム情報!B70="","",③T11_ルーム情報!B70)</f>
        <v>S10032</v>
      </c>
      <c r="C70" s="1" t="str">
        <f>IF(③T11_ルーム情報!C70="","",③T11_ルーム情報!C70)</f>
        <v>清洲校</v>
      </c>
      <c r="D70" s="1" t="str">
        <f>IF(③T11_ルーム情報!D70="","",③T11_ルーム情報!D70)</f>
        <v>ROOM1</v>
      </c>
      <c r="E70" s="1">
        <f>IF(③T11_ルーム情報!E70="","",③T11_ルーム情報!E70)</f>
        <v>20</v>
      </c>
      <c r="F70" s="1" t="str">
        <f>IF(③T11_ルーム情報!F70="","",③T11_ルーム情報!F70)</f>
        <v>アン/そろ</v>
      </c>
    </row>
    <row r="71" spans="1:6" x14ac:dyDescent="0.4">
      <c r="A71" s="1" t="str">
        <f>IF(③T11_ルーム情報!A71="","",③T11_ルーム情報!A71)</f>
        <v/>
      </c>
      <c r="B71" s="1" t="str">
        <f>IF(③T11_ルーム情報!B71="","",③T11_ルーム情報!B71)</f>
        <v>S10034</v>
      </c>
      <c r="C71" s="1" t="str">
        <f>IF(③T11_ルーム情報!C71="","",③T11_ルーム情報!C71)</f>
        <v>東郷校</v>
      </c>
      <c r="D71" s="1" t="str">
        <f>IF(③T11_ルーム情報!D71="","",③T11_ルーム情報!D71)</f>
        <v>ROOM1</v>
      </c>
      <c r="E71" s="1">
        <f>IF(③T11_ルーム情報!E71="","",③T11_ルーム情報!E71)</f>
        <v>17</v>
      </c>
      <c r="F71" s="1" t="str">
        <f>IF(③T11_ルーム情報!F71="","",③T11_ルーム情報!F71)</f>
        <v>アン</v>
      </c>
    </row>
    <row r="72" spans="1:6" x14ac:dyDescent="0.4">
      <c r="A72" s="1" t="str">
        <f>IF(③T11_ルーム情報!A72="","",③T11_ルーム情報!A72)</f>
        <v/>
      </c>
      <c r="B72" s="1" t="str">
        <f>IF(③T11_ルーム情報!B72="","",③T11_ルーム情報!B72)</f>
        <v>S10034</v>
      </c>
      <c r="C72" s="1" t="str">
        <f>IF(③T11_ルーム情報!C72="","",③T11_ルーム情報!C72)</f>
        <v>東郷校</v>
      </c>
      <c r="D72" s="1" t="str">
        <f>IF(③T11_ルーム情報!D72="","",③T11_ルーム情報!D72)</f>
        <v>ROOM2</v>
      </c>
      <c r="E72" s="1">
        <f>IF(③T11_ルーム情報!E72="","",③T11_ルーム情報!E72)</f>
        <v>9</v>
      </c>
      <c r="F72" s="1" t="str">
        <f>IF(③T11_ルーム情報!F72="","",③T11_ルーム情報!F72)</f>
        <v>そろばん</v>
      </c>
    </row>
    <row r="73" spans="1:6" x14ac:dyDescent="0.4">
      <c r="A73" s="1" t="str">
        <f>IF(③T11_ルーム情報!A73="","",③T11_ルーム情報!A73)</f>
        <v/>
      </c>
      <c r="B73" s="1" t="str">
        <f>IF(③T11_ルーム情報!B73="","",③T11_ルーム情報!B73)</f>
        <v>S10035</v>
      </c>
      <c r="C73" s="1" t="str">
        <f>IF(③T11_ルーム情報!C73="","",③T11_ルーム情報!C73)</f>
        <v>丸一校</v>
      </c>
      <c r="D73" s="1" t="str">
        <f>IF(③T11_ルーム情報!D73="","",③T11_ルーム情報!D73)</f>
        <v>ROOM1</v>
      </c>
      <c r="E73" s="1">
        <f>IF(③T11_ルーム情報!E73="","",③T11_ルーム情報!E73)</f>
        <v>14</v>
      </c>
      <c r="F73" s="1" t="str">
        <f>IF(③T11_ルーム情報!F73="","",③T11_ルーム情報!F73)</f>
        <v>1Fアン</v>
      </c>
    </row>
    <row r="74" spans="1:6" x14ac:dyDescent="0.4">
      <c r="A74" s="1" t="str">
        <f>IF(③T11_ルーム情報!A74="","",③T11_ルーム情報!A74)</f>
        <v/>
      </c>
      <c r="B74" s="1" t="str">
        <f>IF(③T11_ルーム情報!B74="","",③T11_ルーム情報!B74)</f>
        <v>S10035</v>
      </c>
      <c r="C74" s="1" t="str">
        <f>IF(③T11_ルーム情報!C74="","",③T11_ルーム情報!C74)</f>
        <v>丸一校</v>
      </c>
      <c r="D74" s="1" t="str">
        <f>IF(③T11_ルーム情報!D74="","",③T11_ルーム情報!D74)</f>
        <v>ROOM2</v>
      </c>
      <c r="E74" s="1">
        <f>IF(③T11_ルーム情報!E74="","",③T11_ルーム情報!E74)</f>
        <v>28</v>
      </c>
      <c r="F74" s="1" t="str">
        <f>IF(③T11_ルーム情報!F74="","",③T11_ルーム情報!F74)</f>
        <v>2Fそろばん習字</v>
      </c>
    </row>
    <row r="75" spans="1:6" x14ac:dyDescent="0.4">
      <c r="A75" s="1" t="str">
        <f>IF(③T11_ルーム情報!A75="","",③T11_ルーム情報!A75)</f>
        <v/>
      </c>
      <c r="B75" s="1" t="str">
        <f>IF(③T11_ルーム情報!B75="","",③T11_ルーム情報!B75)</f>
        <v>S10035</v>
      </c>
      <c r="C75" s="1" t="str">
        <f>IF(③T11_ルーム情報!C75="","",③T11_ルーム情報!C75)</f>
        <v>丸一校</v>
      </c>
      <c r="D75" s="1" t="str">
        <f>IF(③T11_ルーム情報!D75="","",③T11_ルーム情報!D75)</f>
        <v>ROOM3</v>
      </c>
      <c r="E75" s="1">
        <f>IF(③T11_ルーム情報!E75="","",③T11_ルーム情報!E75)</f>
        <v>25</v>
      </c>
      <c r="F75" s="1" t="str">
        <f>IF(③T11_ルーム情報!F75="","",③T11_ルーム情報!F75)</f>
        <v>2F塾</v>
      </c>
    </row>
    <row r="76" spans="1:6" x14ac:dyDescent="0.4">
      <c r="A76" s="1" t="str">
        <f>IF(③T11_ルーム情報!A76="","",③T11_ルーム情報!A76)</f>
        <v/>
      </c>
      <c r="B76" s="1" t="str">
        <f>IF(③T11_ルーム情報!B76="","",③T11_ルーム情報!B76)</f>
        <v>S10037</v>
      </c>
      <c r="C76" s="1" t="str">
        <f>IF(③T11_ルーム情報!C76="","",③T11_ルーム情報!C76)</f>
        <v>扶桑校</v>
      </c>
      <c r="D76" s="1" t="str">
        <f>IF(③T11_ルーム情報!D76="","",③T11_ルーム情報!D76)</f>
        <v>ROOM1</v>
      </c>
      <c r="E76" s="1">
        <f>IF(③T11_ルーム情報!E76="","",③T11_ルーム情報!E76)</f>
        <v>15</v>
      </c>
      <c r="F76" s="1" t="str">
        <f>IF(③T11_ルーム情報!F76="","",③T11_ルーム情報!F76)</f>
        <v>アン</v>
      </c>
    </row>
    <row r="77" spans="1:6" x14ac:dyDescent="0.4">
      <c r="A77" s="1" t="str">
        <f>IF(③T11_ルーム情報!A77="","",③T11_ルーム情報!A77)</f>
        <v/>
      </c>
      <c r="B77" s="1" t="str">
        <f>IF(③T11_ルーム情報!B77="","",③T11_ルーム情報!B77)</f>
        <v>S10037</v>
      </c>
      <c r="C77" s="1" t="str">
        <f>IF(③T11_ルーム情報!C77="","",③T11_ルーム情報!C77)</f>
        <v>扶桑校</v>
      </c>
      <c r="D77" s="1" t="str">
        <f>IF(③T11_ルーム情報!D77="","",③T11_ルーム情報!D77)</f>
        <v>ROOM2</v>
      </c>
      <c r="E77" s="1">
        <f>IF(③T11_ルーム情報!E77="","",③T11_ルーム情報!E77)</f>
        <v>15</v>
      </c>
      <c r="F77" s="1" t="str">
        <f>IF(③T11_ルーム情報!F77="","",③T11_ルーム情報!F77)</f>
        <v>そろばん習字</v>
      </c>
    </row>
    <row r="78" spans="1:6" x14ac:dyDescent="0.4">
      <c r="A78" s="1" t="str">
        <f>IF(③T11_ルーム情報!A78="","",③T11_ルーム情報!A78)</f>
        <v/>
      </c>
      <c r="B78" s="1" t="str">
        <f>IF(③T11_ルーム情報!B78="","",③T11_ルーム情報!B78)</f>
        <v>S10038</v>
      </c>
      <c r="C78" s="1" t="str">
        <f>IF(③T11_ルーム情報!C78="","",③T11_ルーム情報!C78)</f>
        <v>野並校</v>
      </c>
      <c r="D78" s="1" t="str">
        <f>IF(③T11_ルーム情報!D78="","",③T11_ルーム情報!D78)</f>
        <v>ROOM1</v>
      </c>
      <c r="E78" s="1">
        <f>IF(③T11_ルーム情報!E78="","",③T11_ルーム情報!E78)</f>
        <v>17</v>
      </c>
      <c r="F78" s="1" t="str">
        <f>IF(③T11_ルーム情報!F78="","",③T11_ルーム情報!F78)</f>
        <v>アン/そろ</v>
      </c>
    </row>
    <row r="79" spans="1:6" x14ac:dyDescent="0.4">
      <c r="A79" s="1" t="str">
        <f>IF(③T11_ルーム情報!A79="","",③T11_ルーム情報!A79)</f>
        <v/>
      </c>
      <c r="B79" s="1" t="str">
        <f>IF(③T11_ルーム情報!B79="","",③T11_ルーム情報!B79)</f>
        <v>S10039</v>
      </c>
      <c r="C79" s="1" t="str">
        <f>IF(③T11_ルーム情報!C79="","",③T11_ルーム情報!C79)</f>
        <v>愛西本部校</v>
      </c>
      <c r="D79" s="1" t="str">
        <f>IF(③T11_ルーム情報!D79="","",③T11_ルーム情報!D79)</f>
        <v>ROOM1</v>
      </c>
      <c r="E79" s="1">
        <f>IF(③T11_ルーム情報!E79="","",③T11_ルーム情報!E79)</f>
        <v>34</v>
      </c>
      <c r="F79" s="1" t="str">
        <f>IF(③T11_ルーム情報!F79="","",③T11_ルーム情報!F79)</f>
        <v>学習塾</v>
      </c>
    </row>
    <row r="80" spans="1:6" x14ac:dyDescent="0.4">
      <c r="A80" s="1" t="str">
        <f>IF(③T11_ルーム情報!A80="","",③T11_ルーム情報!A80)</f>
        <v/>
      </c>
      <c r="B80" s="1" t="str">
        <f>IF(③T11_ルーム情報!B80="","",③T11_ルーム情報!B80)</f>
        <v>S10039</v>
      </c>
      <c r="C80" s="1" t="str">
        <f>IF(③T11_ルーム情報!C80="","",③T11_ルーム情報!C80)</f>
        <v>愛西本部校</v>
      </c>
      <c r="D80" s="1" t="str">
        <f>IF(③T11_ルーム情報!D80="","",③T11_ルーム情報!D80)</f>
        <v>ROOM2</v>
      </c>
      <c r="E80" s="1">
        <f>IF(③T11_ルーム情報!E80="","",③T11_ルーム情報!E80)</f>
        <v>12</v>
      </c>
      <c r="F80" s="1" t="str">
        <f>IF(③T11_ルーム情報!F80="","",③T11_ルーム情報!F80)</f>
        <v>英語</v>
      </c>
    </row>
    <row r="81" spans="1:6" x14ac:dyDescent="0.4">
      <c r="A81" s="1" t="str">
        <f>IF(③T11_ルーム情報!A81="","",③T11_ルーム情報!A81)</f>
        <v/>
      </c>
      <c r="B81" s="1" t="str">
        <f>IF(③T11_ルーム情報!B81="","",③T11_ルーム情報!B81)</f>
        <v>S10039</v>
      </c>
      <c r="C81" s="1" t="str">
        <f>IF(③T11_ルーム情報!C81="","",③T11_ルーム情報!C81)</f>
        <v>愛西本部校</v>
      </c>
      <c r="D81" s="1" t="str">
        <f>IF(③T11_ルーム情報!D81="","",③T11_ルーム情報!D81)</f>
        <v>ROOM3</v>
      </c>
      <c r="E81" s="1">
        <f>IF(③T11_ルーム情報!E81="","",③T11_ルーム情報!E81)</f>
        <v>16</v>
      </c>
      <c r="F81" s="1" t="str">
        <f>IF(③T11_ルーム情報!F81="","",③T11_ルーム情報!F81)</f>
        <v>そろばん</v>
      </c>
    </row>
    <row r="82" spans="1:6" x14ac:dyDescent="0.4">
      <c r="A82" s="1" t="str">
        <f>IF(③T11_ルーム情報!A82="","",③T11_ルーム情報!A82)</f>
        <v/>
      </c>
      <c r="B82" s="1" t="str">
        <f>IF(③T11_ルーム情報!B82="","",③T11_ルーム情報!B82)</f>
        <v>S10039</v>
      </c>
      <c r="C82" s="1" t="str">
        <f>IF(③T11_ルーム情報!C82="","",③T11_ルーム情報!C82)</f>
        <v>愛西本部校</v>
      </c>
      <c r="D82" s="1" t="str">
        <f>IF(③T11_ルーム情報!D82="","",③T11_ルーム情報!D82)</f>
        <v>ROOM4</v>
      </c>
      <c r="E82" s="1">
        <f>IF(③T11_ルーム情報!E82="","",③T11_ルーム情報!E82)</f>
        <v>16</v>
      </c>
      <c r="F82" s="1" t="str">
        <f>IF(③T11_ルーム情報!F82="","",③T11_ルーム情報!F82)</f>
        <v>美文字</v>
      </c>
    </row>
    <row r="83" spans="1:6" x14ac:dyDescent="0.4">
      <c r="A83" s="1" t="str">
        <f>IF(③T11_ルーム情報!A83="","",③T11_ルーム情報!A83)</f>
        <v/>
      </c>
      <c r="B83" s="1" t="str">
        <f>IF(③T11_ルーム情報!B83="","",③T11_ルーム情報!B83)</f>
        <v>S10040</v>
      </c>
      <c r="C83" s="1" t="str">
        <f>IF(③T11_ルーム情報!C83="","",③T11_ルーム情報!C83)</f>
        <v>ニッケタウン稲沢校</v>
      </c>
      <c r="D83" s="1" t="str">
        <f>IF(③T11_ルーム情報!D83="","",③T11_ルーム情報!D83)</f>
        <v>ROOM1</v>
      </c>
      <c r="E83" s="1">
        <f>IF(③T11_ルーム情報!E83="","",③T11_ルーム情報!E83)</f>
        <v>17</v>
      </c>
      <c r="F83" s="1" t="str">
        <f>IF(③T11_ルーム情報!F83="","",③T11_ルーム情報!F83)</f>
        <v>アン・そろばん</v>
      </c>
    </row>
    <row r="84" spans="1:6" x14ac:dyDescent="0.4">
      <c r="A84" s="1" t="str">
        <f>IF(③T11_ルーム情報!A84="","",③T11_ルーム情報!A84)</f>
        <v/>
      </c>
      <c r="B84" s="1" t="str">
        <f>IF(③T11_ルーム情報!B84="","",③T11_ルーム情報!B84)</f>
        <v>S10041</v>
      </c>
      <c r="C84" s="1" t="str">
        <f>IF(③T11_ルーム情報!C84="","",③T11_ルーム情報!C84)</f>
        <v>ヨシヅヤ豊山校</v>
      </c>
      <c r="D84" s="1" t="str">
        <f>IF(③T11_ルーム情報!D84="","",③T11_ルーム情報!D84)</f>
        <v>ROOM1</v>
      </c>
      <c r="E84" s="1">
        <f>IF(③T11_ルーム情報!E84="","",③T11_ルーム情報!E84)</f>
        <v>17</v>
      </c>
      <c r="F84" s="1" t="str">
        <f>IF(③T11_ルーム情報!F84="","",③T11_ルーム情報!F84)</f>
        <v>アン/そろ</v>
      </c>
    </row>
    <row r="85" spans="1:6" x14ac:dyDescent="0.4">
      <c r="A85" s="1" t="str">
        <f>IF(③T11_ルーム情報!A85="","",③T11_ルーム情報!A85)</f>
        <v/>
      </c>
      <c r="B85" s="1" t="str">
        <f>IF(③T11_ルーム情報!B85="","",③T11_ルーム情報!B85)</f>
        <v>S10045</v>
      </c>
      <c r="C85" s="1" t="str">
        <f>IF(③T11_ルーム情報!C85="","",③T11_ルーム情報!C85)</f>
        <v>須田塾岐阜本部校</v>
      </c>
      <c r="D85" s="1" t="str">
        <f>IF(③T11_ルーム情報!D85="","",③T11_ルーム情報!D85)</f>
        <v>ROOM1</v>
      </c>
      <c r="E85" s="1">
        <f>IF(③T11_ルーム情報!E85="","",③T11_ルーム情報!E85)</f>
        <v>19</v>
      </c>
      <c r="F85" s="1" t="str">
        <f>IF(③T11_ルーム情報!F85="","",③T11_ルーム情報!F85)</f>
        <v>1F 学習塾</v>
      </c>
    </row>
    <row r="86" spans="1:6" x14ac:dyDescent="0.4">
      <c r="A86" s="1" t="str">
        <f>IF(③T11_ルーム情報!A86="","",③T11_ルーム情報!A86)</f>
        <v/>
      </c>
      <c r="B86" s="1" t="str">
        <f>IF(③T11_ルーム情報!B86="","",③T11_ルーム情報!B86)</f>
        <v>S10045</v>
      </c>
      <c r="C86" s="1" t="str">
        <f>IF(③T11_ルーム情報!C86="","",③T11_ルーム情報!C86)</f>
        <v>須田塾岐阜本部校</v>
      </c>
      <c r="D86" s="1" t="str">
        <f>IF(③T11_ルーム情報!D86="","",③T11_ルーム情報!D86)</f>
        <v>ROOM2</v>
      </c>
      <c r="E86" s="1">
        <f>IF(③T11_ルーム情報!E86="","",③T11_ルーム情報!E86)</f>
        <v>12</v>
      </c>
      <c r="F86" s="1" t="str">
        <f>IF(③T11_ルーム情報!F86="","",③T11_ルーム情報!F86)</f>
        <v>1E アン</v>
      </c>
    </row>
    <row r="87" spans="1:6" x14ac:dyDescent="0.4">
      <c r="A87" s="1" t="str">
        <f>IF(③T11_ルーム情報!A87="","",③T11_ルーム情報!A87)</f>
        <v/>
      </c>
      <c r="B87" s="1" t="str">
        <f>IF(③T11_ルーム情報!B87="","",③T11_ルーム情報!B87)</f>
        <v>S10045</v>
      </c>
      <c r="C87" s="1" t="str">
        <f>IF(③T11_ルーム情報!C87="","",③T11_ルーム情報!C87)</f>
        <v>須田塾岐阜本部校</v>
      </c>
      <c r="D87" s="1" t="str">
        <f>IF(③T11_ルーム情報!D87="","",③T11_ルーム情報!D87)</f>
        <v>ROOM3</v>
      </c>
      <c r="E87" s="1">
        <f>IF(③T11_ルーム情報!E87="","",③T11_ルーム情報!E87)</f>
        <v>20</v>
      </c>
      <c r="F87" s="1" t="str">
        <f>IF(③T11_ルーム情報!F87="","",③T11_ルーム情報!F87)</f>
        <v>2F 学習塾</v>
      </c>
    </row>
    <row r="88" spans="1:6" x14ac:dyDescent="0.4">
      <c r="A88" s="1" t="str">
        <f>IF(③T11_ルーム情報!A88="","",③T11_ルーム情報!A88)</f>
        <v/>
      </c>
      <c r="B88" s="1" t="str">
        <f>IF(③T11_ルーム情報!B88="","",③T11_ルーム情報!B88)</f>
        <v>S10045</v>
      </c>
      <c r="C88" s="1" t="str">
        <f>IF(③T11_ルーム情報!C88="","",③T11_ルーム情報!C88)</f>
        <v>須田塾岐阜本部校</v>
      </c>
      <c r="D88" s="1" t="str">
        <f>IF(③T11_ルーム情報!D88="","",③T11_ルーム情報!D88)</f>
        <v>ROOM4</v>
      </c>
      <c r="E88" s="1">
        <f>IF(③T11_ルーム情報!E88="","",③T11_ルーム情報!E88)</f>
        <v>20</v>
      </c>
      <c r="F88" s="1" t="str">
        <f>IF(③T11_ルーム情報!F88="","",③T11_ルーム情報!F88)</f>
        <v>2F 学習塾</v>
      </c>
    </row>
    <row r="89" spans="1:6" x14ac:dyDescent="0.4">
      <c r="A89" s="1" t="str">
        <f>IF(③T11_ルーム情報!A89="","",③T11_ルーム情報!A89)</f>
        <v/>
      </c>
      <c r="B89" s="1" t="str">
        <f>IF(③T11_ルーム情報!B89="","",③T11_ルーム情報!B89)</f>
        <v>S10045</v>
      </c>
      <c r="C89" s="1" t="str">
        <f>IF(③T11_ルーム情報!C89="","",③T11_ルーム情報!C89)</f>
        <v>須田塾岐阜本部校</v>
      </c>
      <c r="D89" s="1" t="str">
        <f>IF(③T11_ルーム情報!D89="","",③T11_ルーム情報!D89)</f>
        <v>ROOM5</v>
      </c>
      <c r="E89" s="1">
        <f>IF(③T11_ルーム情報!E89="","",③T11_ルーム情報!E89)</f>
        <v>16</v>
      </c>
      <c r="F89" s="1" t="str">
        <f>IF(③T11_ルーム情報!F89="","",③T11_ルーム情報!F89)</f>
        <v>2F 学習塾</v>
      </c>
    </row>
    <row r="90" spans="1:6" x14ac:dyDescent="0.4">
      <c r="A90" s="1" t="str">
        <f>IF(③T11_ルーム情報!A90="","",③T11_ルーム情報!A90)</f>
        <v/>
      </c>
      <c r="B90" s="1" t="str">
        <f>IF(③T11_ルーム情報!B90="","",③T11_ルーム情報!B90)</f>
        <v>S10045</v>
      </c>
      <c r="C90" s="1" t="str">
        <f>IF(③T11_ルーム情報!C90="","",③T11_ルーム情報!C90)</f>
        <v>須田塾岐阜本部校</v>
      </c>
      <c r="D90" s="1" t="str">
        <f>IF(③T11_ルーム情報!D90="","",③T11_ルーム情報!D90)</f>
        <v>ROOM6</v>
      </c>
      <c r="E90" s="1">
        <f>IF(③T11_ルーム情報!E90="","",③T11_ルーム情報!E90)</f>
        <v>20</v>
      </c>
      <c r="F90" s="1" t="str">
        <f>IF(③T11_ルーム情報!F90="","",③T11_ルーム情報!F90)</f>
        <v>3F そろばん･筆っこ</v>
      </c>
    </row>
    <row r="91" spans="1:6" x14ac:dyDescent="0.4">
      <c r="A91" s="1" t="str">
        <f>IF(③T11_ルーム情報!A91="","",③T11_ルーム情報!A91)</f>
        <v/>
      </c>
      <c r="B91" s="1" t="str">
        <f>IF(③T11_ルーム情報!B91="","",③T11_ルーム情報!B91)</f>
        <v>S10045</v>
      </c>
      <c r="C91" s="1" t="str">
        <f>IF(③T11_ルーム情報!C91="","",③T11_ルーム情報!C91)</f>
        <v>須田塾岐阜本部校</v>
      </c>
      <c r="D91" s="1" t="str">
        <f>IF(③T11_ルーム情報!D91="","",③T11_ルーム情報!D91)</f>
        <v>ROOM7</v>
      </c>
      <c r="E91" s="1">
        <f>IF(③T11_ルーム情報!E91="","",③T11_ルーム情報!E91)</f>
        <v>20</v>
      </c>
      <c r="F91" s="1" t="str">
        <f>IF(③T11_ルーム情報!F91="","",③T11_ルーム情報!F91)</f>
        <v>3F 文理 8+12</v>
      </c>
    </row>
    <row r="92" spans="1:6" x14ac:dyDescent="0.4">
      <c r="A92" s="1" t="str">
        <f>IF(③T11_ルーム情報!A92="","",③T11_ルーム情報!A92)</f>
        <v/>
      </c>
      <c r="B92" s="1" t="str">
        <f>IF(③T11_ルーム情報!B92="","",③T11_ルーム情報!B92)</f>
        <v>S10046</v>
      </c>
      <c r="C92" s="1" t="str">
        <f>IF(③T11_ルーム情報!C92="","",③T11_ルーム情報!C92)</f>
        <v>須田塾岩田校</v>
      </c>
      <c r="D92" s="1" t="str">
        <f>IF(③T11_ルーム情報!D92="","",③T11_ルーム情報!D92)</f>
        <v>ROOM1</v>
      </c>
      <c r="E92" s="1">
        <f>IF(③T11_ルーム情報!E92="","",③T11_ルーム情報!E92)</f>
        <v>19</v>
      </c>
      <c r="F92" s="1" t="str">
        <f>IF(③T11_ルーム情報!F92="","",③T11_ルーム情報!F92)</f>
        <v>塾　プログラミング</v>
      </c>
    </row>
    <row r="93" spans="1:6" x14ac:dyDescent="0.4">
      <c r="A93" s="1" t="str">
        <f>IF(③T11_ルーム情報!A93="","",③T11_ルーム情報!A93)</f>
        <v/>
      </c>
      <c r="B93" s="1" t="str">
        <f>IF(③T11_ルーム情報!B93="","",③T11_ルーム情報!B93)</f>
        <v>S10046</v>
      </c>
      <c r="C93" s="1" t="str">
        <f>IF(③T11_ルーム情報!C93="","",③T11_ルーム情報!C93)</f>
        <v>須田塾岩田校</v>
      </c>
      <c r="D93" s="1" t="str">
        <f>IF(③T11_ルーム情報!D93="","",③T11_ルーム情報!D93)</f>
        <v>ROOM2</v>
      </c>
      <c r="E93" s="1">
        <f>IF(③T11_ルーム情報!E93="","",③T11_ルーム情報!E93)</f>
        <v>15</v>
      </c>
      <c r="F93" s="1" t="str">
        <f>IF(③T11_ルーム情報!F93="","",③T11_ルーム情報!F93)</f>
        <v>アン　筆っこ</v>
      </c>
    </row>
    <row r="94" spans="1:6" x14ac:dyDescent="0.4">
      <c r="A94" s="1" t="str">
        <f>IF(③T11_ルーム情報!A94="","",③T11_ルーム情報!A94)</f>
        <v/>
      </c>
      <c r="B94" s="1" t="str">
        <f>IF(③T11_ルーム情報!B94="","",③T11_ルーム情報!B94)</f>
        <v>S10046</v>
      </c>
      <c r="C94" s="1" t="str">
        <f>IF(③T11_ルーム情報!C94="","",③T11_ルーム情報!C94)</f>
        <v>須田塾岩田校</v>
      </c>
      <c r="D94" s="1" t="str">
        <f>IF(③T11_ルーム情報!D94="","",③T11_ルーム情報!D94)</f>
        <v>ROOM3</v>
      </c>
      <c r="E94" s="1">
        <f>IF(③T11_ルーム情報!E94="","",③T11_ルーム情報!E94)</f>
        <v>14</v>
      </c>
      <c r="F94" s="1" t="str">
        <f>IF(③T11_ルーム情報!F94="","",③T11_ルーム情報!F94)</f>
        <v>そろばん</v>
      </c>
    </row>
    <row r="95" spans="1:6" x14ac:dyDescent="0.4">
      <c r="A95" s="1" t="str">
        <f>IF(③T11_ルーム情報!A95="","",③T11_ルーム情報!A95)</f>
        <v/>
      </c>
      <c r="B95" s="1" t="str">
        <f>IF(③T11_ルーム情報!B95="","",③T11_ルーム情報!B95)</f>
        <v>S10042</v>
      </c>
      <c r="C95" s="1" t="str">
        <f>IF(③T11_ルーム情報!C95="","",③T11_ルーム情報!C95)</f>
        <v>犬山校</v>
      </c>
      <c r="D95" s="1" t="str">
        <f>IF(③T11_ルーム情報!D95="","",③T11_ルーム情報!D95)</f>
        <v>ROOM1</v>
      </c>
      <c r="E95" s="1">
        <f>IF(③T11_ルーム情報!E95="","",③T11_ルーム情報!E95)</f>
        <v>10</v>
      </c>
      <c r="F95" s="1" t="str">
        <f>IF(③T11_ルーム情報!F95="","",③T11_ルーム情報!F95)</f>
        <v>アンそろ筆</v>
      </c>
    </row>
    <row r="96" spans="1:6" x14ac:dyDescent="0.4">
      <c r="A96" s="1" t="str">
        <f>IF(③T11_ルーム情報!A96="","",③T11_ルーム情報!A96)</f>
        <v/>
      </c>
      <c r="B96" s="1" t="str">
        <f>IF(③T11_ルーム情報!B96="","",③T11_ルーム情報!B96)</f>
        <v>S10043</v>
      </c>
      <c r="C96" s="1" t="str">
        <f>IF(③T11_ルーム情報!C96="","",③T11_ルーム情報!C96)</f>
        <v>鵜沼校</v>
      </c>
      <c r="D96" s="1" t="str">
        <f>IF(③T11_ルーム情報!D96="","",③T11_ルーム情報!D96)</f>
        <v>ROOM1</v>
      </c>
      <c r="E96" s="1">
        <f>IF(③T11_ルーム情報!E96="","",③T11_ルーム情報!E96)</f>
        <v>15</v>
      </c>
      <c r="F96" s="1" t="str">
        <f>IF(③T11_ルーム情報!F96="","",③T11_ルーム情報!F96)</f>
        <v>アン・そろばん</v>
      </c>
    </row>
    <row r="97" spans="1:6" x14ac:dyDescent="0.4">
      <c r="A97" s="1" t="str">
        <f>IF(③T11_ルーム情報!A97="","",③T11_ルーム情報!A97)</f>
        <v/>
      </c>
      <c r="B97" s="1" t="str">
        <f>IF(③T11_ルーム情報!B97="","",③T11_ルーム情報!B97)</f>
        <v>S10055</v>
      </c>
      <c r="C97" s="1" t="str">
        <f>IF(③T11_ルーム情報!C97="","",③T11_ルーム情報!C97)</f>
        <v>清水校</v>
      </c>
      <c r="D97" s="1" t="str">
        <f>IF(③T11_ルーム情報!D97="","",③T11_ルーム情報!D97)</f>
        <v>ROOM1</v>
      </c>
      <c r="E97" s="1">
        <f>IF(③T11_ルーム情報!E97="","",③T11_ルーム情報!E97)</f>
        <v>11</v>
      </c>
      <c r="F97" s="1" t="str">
        <f>IF(③T11_ルーム情報!F97="","",③T11_ルーム情報!F97)</f>
        <v>アン</v>
      </c>
    </row>
    <row r="98" spans="1:6" x14ac:dyDescent="0.4">
      <c r="A98" s="1" t="str">
        <f>IF(③T11_ルーム情報!A98="","",③T11_ルーム情報!A98)</f>
        <v/>
      </c>
      <c r="B98" s="1" t="str">
        <f>IF(③T11_ルーム情報!B98="","",③T11_ルーム情報!B98)</f>
        <v>S10055</v>
      </c>
      <c r="C98" s="1" t="str">
        <f>IF(③T11_ルーム情報!C98="","",③T11_ルーム情報!C98)</f>
        <v>清水校</v>
      </c>
      <c r="D98" s="1" t="str">
        <f>IF(③T11_ルーム情報!D98="","",③T11_ルーム情報!D98)</f>
        <v>ROOM2</v>
      </c>
      <c r="E98" s="1">
        <f>IF(③T11_ルーム情報!E98="","",③T11_ルーム情報!E98)</f>
        <v>18</v>
      </c>
      <c r="F98" s="1" t="str">
        <f>IF(③T11_ルーム情報!F98="","",③T11_ルーム情報!F98)</f>
        <v>そろばん・筆っこ</v>
      </c>
    </row>
    <row r="99" spans="1:6" x14ac:dyDescent="0.4">
      <c r="A99" s="1" t="str">
        <f>IF(③T11_ルーム情報!A99="","",③T11_ルーム情報!A99)</f>
        <v/>
      </c>
      <c r="B99" s="1" t="str">
        <f>IF(③T11_ルーム情報!B99="","",③T11_ルーム情報!B99)</f>
        <v>S10056</v>
      </c>
      <c r="C99" s="1" t="str">
        <f>IF(③T11_ルーム情報!C99="","",③T11_ルーム情報!C99)</f>
        <v>ナフコ二重堀校</v>
      </c>
      <c r="D99" s="1" t="str">
        <f>IF(③T11_ルーム情報!D99="","",③T11_ルーム情報!D99)</f>
        <v>ROOM1</v>
      </c>
      <c r="E99" s="1">
        <f>IF(③T11_ルーム情報!E99="","",③T11_ルーム情報!E99)</f>
        <v>16</v>
      </c>
      <c r="F99" s="1" t="str">
        <f>IF(③T11_ルーム情報!F99="","",③T11_ルーム情報!F99)</f>
        <v>アン/そろ</v>
      </c>
    </row>
    <row r="100" spans="1:6" x14ac:dyDescent="0.4">
      <c r="A100" s="1" t="str">
        <f>IF(③T11_ルーム情報!A100="","",③T11_ルーム情報!A100)</f>
        <v/>
      </c>
      <c r="B100" s="1" t="str">
        <f>IF(③T11_ルーム情報!B100="","",③T11_ルーム情報!B100)</f>
        <v>S10057</v>
      </c>
      <c r="C100" s="1" t="str">
        <f>IF(③T11_ルーム情報!C100="","",③T11_ルーム情報!C100)</f>
        <v>アオキスーパー西枇杷島校</v>
      </c>
      <c r="D100" s="1" t="str">
        <f>IF(③T11_ルーム情報!D100="","",③T11_ルーム情報!D100)</f>
        <v>ROOM1</v>
      </c>
      <c r="E100" s="1">
        <f>IF(③T11_ルーム情報!E100="","",③T11_ルーム情報!E100)</f>
        <v>15</v>
      </c>
      <c r="F100" s="1" t="str">
        <f>IF(③T11_ルーム情報!F100="","",③T11_ルーム情報!F100)</f>
        <v>アン/そろ</v>
      </c>
    </row>
    <row r="101" spans="1:6" x14ac:dyDescent="0.4">
      <c r="A101" s="1" t="str">
        <f>IF(③T11_ルーム情報!A101="","",③T11_ルーム情報!A101)</f>
        <v/>
      </c>
      <c r="B101" s="1" t="str">
        <f>IF(③T11_ルーム情報!B101="","",③T11_ルーム情報!B101)</f>
        <v>S10058</v>
      </c>
      <c r="C101" s="1" t="str">
        <f>IF(③T11_ルーム情報!C101="","",③T11_ルーム情報!C101)</f>
        <v>白鳳校</v>
      </c>
      <c r="D101" s="1" t="str">
        <f>IF(③T11_ルーム情報!D101="","",③T11_ルーム情報!D101)</f>
        <v>ROOM1</v>
      </c>
      <c r="E101" s="1">
        <f>IF(③T11_ルーム情報!E101="","",③T11_ルーム情報!E101)</f>
        <v>59</v>
      </c>
      <c r="F101" s="1" t="str">
        <f>IF(③T11_ルーム情報!F101="","",③T11_ルーム情報!F101)</f>
        <v>3F文理大</v>
      </c>
    </row>
    <row r="102" spans="1:6" x14ac:dyDescent="0.4">
      <c r="A102" s="1" t="str">
        <f>IF(③T11_ルーム情報!A102="","",③T11_ルーム情報!A102)</f>
        <v/>
      </c>
      <c r="B102" s="1" t="str">
        <f>IF(③T11_ルーム情報!B102="","",③T11_ルーム情報!B102)</f>
        <v>S10058</v>
      </c>
      <c r="C102" s="1" t="str">
        <f>IF(③T11_ルーム情報!C102="","",③T11_ルーム情報!C102)</f>
        <v>白鳳校</v>
      </c>
      <c r="D102" s="1" t="str">
        <f>IF(③T11_ルーム情報!D102="","",③T11_ルーム情報!D102)</f>
        <v>ROOM2</v>
      </c>
      <c r="E102" s="1">
        <f>IF(③T11_ルーム情報!E102="","",③T11_ルーム情報!E102)</f>
        <v>42</v>
      </c>
      <c r="F102" s="1" t="str">
        <f>IF(③T11_ルーム情報!F102="","",③T11_ルーム情報!F102)</f>
        <v>3F文理中</v>
      </c>
    </row>
    <row r="103" spans="1:6" x14ac:dyDescent="0.4">
      <c r="A103" s="1" t="str">
        <f>IF(③T11_ルーム情報!A103="","",③T11_ルーム情報!A103)</f>
        <v/>
      </c>
      <c r="B103" s="1" t="str">
        <f>IF(③T11_ルーム情報!B103="","",③T11_ルーム情報!B103)</f>
        <v>S10058</v>
      </c>
      <c r="C103" s="1" t="str">
        <f>IF(③T11_ルーム情報!C103="","",③T11_ルーム情報!C103)</f>
        <v>白鳳校</v>
      </c>
      <c r="D103" s="1" t="str">
        <f>IF(③T11_ルーム情報!D103="","",③T11_ルーム情報!D103)</f>
        <v>ROOM3</v>
      </c>
      <c r="E103" s="1">
        <f>IF(③T11_ルーム情報!E103="","",③T11_ルーム情報!E103)</f>
        <v>15</v>
      </c>
      <c r="F103" s="1" t="str">
        <f>IF(③T11_ルーム情報!F103="","",③T11_ルーム情報!F103)</f>
        <v>3F文理小</v>
      </c>
    </row>
    <row r="104" spans="1:6" x14ac:dyDescent="0.4">
      <c r="A104" s="1" t="str">
        <f>IF(③T11_ルーム情報!A104="","",③T11_ルーム情報!A104)</f>
        <v/>
      </c>
      <c r="B104" s="1" t="str">
        <f>IF(③T11_ルーム情報!B104="","",③T11_ルーム情報!B104)</f>
        <v>S10058</v>
      </c>
      <c r="C104" s="1" t="str">
        <f>IF(③T11_ルーム情報!C104="","",③T11_ルーム情報!C104)</f>
        <v>白鳳校</v>
      </c>
      <c r="D104" s="1" t="str">
        <f>IF(③T11_ルーム情報!D104="","",③T11_ルーム情報!D104)</f>
        <v>ROOM4</v>
      </c>
      <c r="E104" s="1">
        <f>IF(③T11_ルーム情報!E104="","",③T11_ルーム情報!E104)</f>
        <v>24</v>
      </c>
      <c r="F104" s="1" t="str">
        <f>IF(③T11_ルーム情報!F104="","",③T11_ルーム情報!F104)</f>
        <v>2Fジム</v>
      </c>
    </row>
    <row r="105" spans="1:6" x14ac:dyDescent="0.4">
      <c r="A105" s="1" t="str">
        <f>IF(③T11_ルーム情報!A105="","",③T11_ルーム情報!A105)</f>
        <v/>
      </c>
      <c r="B105" s="1" t="str">
        <f>IF(③T11_ルーム情報!B105="","",③T11_ルーム情報!B105)</f>
        <v>S10058</v>
      </c>
      <c r="C105" s="1" t="str">
        <f>IF(③T11_ルーム情報!C105="","",③T11_ルーム情報!C105)</f>
        <v>白鳳校</v>
      </c>
      <c r="D105" s="1" t="str">
        <f>IF(③T11_ルーム情報!D105="","",③T11_ルーム情報!D105)</f>
        <v>ROOM5</v>
      </c>
      <c r="E105" s="1">
        <f>IF(③T11_ルーム情報!E105="","",③T11_ルーム情報!E105)</f>
        <v>22</v>
      </c>
      <c r="F105" s="1" t="str">
        <f>IF(③T11_ルーム情報!F105="","",③T11_ルーム情報!F105)</f>
        <v>2Fさん・プロ</v>
      </c>
    </row>
    <row r="106" spans="1:6" x14ac:dyDescent="0.4">
      <c r="A106" s="1" t="str">
        <f>IF(③T11_ルーム情報!A106="","",③T11_ルーム情報!A106)</f>
        <v/>
      </c>
      <c r="B106" s="1" t="str">
        <f>IF(③T11_ルーム情報!B106="","",③T11_ルーム情報!B106)</f>
        <v>S10058</v>
      </c>
      <c r="C106" s="1" t="str">
        <f>IF(③T11_ルーム情報!C106="","",③T11_ルーム情報!C106)</f>
        <v>白鳳校</v>
      </c>
      <c r="D106" s="1" t="str">
        <f>IF(③T11_ルーム情報!D106="","",③T11_ルーム情報!D106)</f>
        <v>ROOM6</v>
      </c>
      <c r="E106" s="1">
        <f>IF(③T11_ルーム情報!E106="","",③T11_ルーム情報!E106)</f>
        <v>29</v>
      </c>
      <c r="F106" s="1" t="str">
        <f>IF(③T11_ルーム情報!F106="","",③T11_ルーム情報!F106)</f>
        <v>2F美・そろ</v>
      </c>
    </row>
    <row r="107" spans="1:6" x14ac:dyDescent="0.4">
      <c r="A107" s="1" t="str">
        <f>IF(③T11_ルーム情報!A107="","",③T11_ルーム情報!A107)</f>
        <v/>
      </c>
      <c r="B107" s="1" t="str">
        <f>IF(③T11_ルーム情報!B107="","",③T11_ルーム情報!B107)</f>
        <v>S10058</v>
      </c>
      <c r="C107" s="1" t="str">
        <f>IF(③T11_ルーム情報!C107="","",③T11_ルーム情報!C107)</f>
        <v>白鳳校</v>
      </c>
      <c r="D107" s="1" t="str">
        <f>IF(③T11_ルーム情報!D107="","",③T11_ルーム情報!D107)</f>
        <v>ROOM7</v>
      </c>
      <c r="E107" s="1">
        <f>IF(③T11_ルーム情報!E107="","",③T11_ルーム情報!E107)</f>
        <v>14</v>
      </c>
      <c r="F107" s="1" t="str">
        <f>IF(③T11_ルーム情報!F107="","",③T11_ルーム情報!F107)</f>
        <v>2Fアン</v>
      </c>
    </row>
    <row r="108" spans="1:6" x14ac:dyDescent="0.4">
      <c r="A108" s="1" t="str">
        <f>IF(③T11_ルーム情報!A108="","",③T11_ルーム情報!A108)</f>
        <v/>
      </c>
      <c r="B108" s="1" t="str">
        <f>IF(③T11_ルーム情報!B108="","",③T11_ルーム情報!B108)</f>
        <v>S10058</v>
      </c>
      <c r="C108" s="1" t="str">
        <f>IF(③T11_ルーム情報!C108="","",③T11_ルーム情報!C108)</f>
        <v>白鳳校</v>
      </c>
      <c r="D108" s="1" t="str">
        <f>IF(③T11_ルーム情報!D108="","",③T11_ルーム情報!D108)</f>
        <v>ROOM8</v>
      </c>
      <c r="E108" s="1">
        <f>IF(③T11_ルーム情報!E108="","",③T11_ルーム情報!E108)</f>
        <v>30</v>
      </c>
      <c r="F108" s="1" t="str">
        <f>IF(③T11_ルーム情報!F108="","",③T11_ルーム情報!F108)</f>
        <v>学童</v>
      </c>
    </row>
    <row r="109" spans="1:6" x14ac:dyDescent="0.4">
      <c r="A109" s="1" t="str">
        <f>IF(③T11_ルーム情報!A109="","",③T11_ルーム情報!A109)</f>
        <v/>
      </c>
      <c r="B109" s="1" t="str">
        <f>IF(③T11_ルーム情報!B109="","",③T11_ルーム情報!B109)</f>
        <v>S10058</v>
      </c>
      <c r="C109" s="1" t="str">
        <f>IF(③T11_ルーム情報!C109="","",③T11_ルーム情報!C109)</f>
        <v>白鳳校</v>
      </c>
      <c r="D109" s="1" t="str">
        <f>IF(③T11_ルーム情報!D109="","",③T11_ルーム情報!D109)</f>
        <v>ROOM9</v>
      </c>
      <c r="E109" s="1">
        <f>IF(③T11_ルーム情報!E109="","",③T11_ルーム情報!E109)</f>
        <v>30</v>
      </c>
      <c r="F109" s="1" t="str">
        <f>IF(③T11_ルーム情報!F109="","",③T11_ルーム情報!F109)</f>
        <v>インター</v>
      </c>
    </row>
    <row r="110" spans="1:6" x14ac:dyDescent="0.4">
      <c r="A110" s="1" t="str">
        <f>IF(③T11_ルーム情報!A110="","",③T11_ルーム情報!A110)</f>
        <v/>
      </c>
      <c r="B110" s="1" t="str">
        <f>IF(③T11_ルーム情報!B110="","",③T11_ルーム情報!B110)</f>
        <v>S10058</v>
      </c>
      <c r="C110" s="1" t="str">
        <f>IF(③T11_ルーム情報!C110="","",③T11_ルーム情報!C110)</f>
        <v>白鳳校</v>
      </c>
      <c r="D110" s="1" t="str">
        <f>IF(③T11_ルーム情報!D110="","",③T11_ルーム情報!D110)</f>
        <v>ROOM10</v>
      </c>
      <c r="E110" s="1">
        <f>IF(③T11_ルーム情報!E110="","",③T11_ルーム情報!E110)</f>
        <v>5</v>
      </c>
      <c r="F110" s="1" t="str">
        <f>IF(③T11_ルーム情報!F110="","",③T11_ルーム情報!F110)</f>
        <v>小部屋×2</v>
      </c>
    </row>
    <row r="111" spans="1:6" x14ac:dyDescent="0.4">
      <c r="A111" s="1" t="str">
        <f>IF(③T11_ルーム情報!A111="","",③T11_ルーム情報!A111)</f>
        <v/>
      </c>
      <c r="B111" s="1" t="str">
        <f>IF(③T11_ルーム情報!B111="","",③T11_ルーム情報!B111)</f>
        <v>S10099</v>
      </c>
      <c r="C111" s="1" t="str">
        <f>IF(③T11_ルーム情報!C111="","",③T11_ルーム情報!C111)</f>
        <v>ナフコ坂下校</v>
      </c>
      <c r="D111" s="1" t="str">
        <f>IF(③T11_ルーム情報!D111="","",③T11_ルーム情報!D111)</f>
        <v>ROOM1</v>
      </c>
      <c r="E111" s="1">
        <f>IF(③T11_ルーム情報!E111="","",③T11_ルーム情報!E111)</f>
        <v>6</v>
      </c>
      <c r="F111" s="1" t="str">
        <f>IF(③T11_ルーム情報!F111="","",③T11_ルーム情報!F111)</f>
        <v>アン</v>
      </c>
    </row>
    <row r="112" spans="1:6" x14ac:dyDescent="0.4">
      <c r="A112" s="1" t="str">
        <f>IF(③T11_ルーム情報!A112="","",③T11_ルーム情報!A112)</f>
        <v/>
      </c>
      <c r="B112" s="1" t="str">
        <f>IF(③T11_ルーム情報!B112="","",③T11_ルーム情報!B112)</f>
        <v>S10099</v>
      </c>
      <c r="C112" s="1" t="str">
        <f>IF(③T11_ルーム情報!C112="","",③T11_ルーム情報!C112)</f>
        <v>ナフコ坂下校</v>
      </c>
      <c r="D112" s="1" t="str">
        <f>IF(③T11_ルーム情報!D112="","",③T11_ルーム情報!D112)</f>
        <v>ROOM2</v>
      </c>
      <c r="E112" s="1">
        <f>IF(③T11_ルーム情報!E112="","",③T11_ルーム情報!E112)</f>
        <v>12</v>
      </c>
      <c r="F112" s="1" t="str">
        <f>IF(③T11_ルーム情報!F112="","",③T11_ルーム情報!F112)</f>
        <v>そろばん</v>
      </c>
    </row>
    <row r="113" spans="1:6" x14ac:dyDescent="0.4">
      <c r="A113" s="1" t="str">
        <f>IF(③T11_ルーム情報!A113="","",③T11_ルーム情報!A113)</f>
        <v/>
      </c>
      <c r="B113" s="1" t="str">
        <f>IF(③T11_ルーム情報!B113="","",③T11_ルーム情報!B113)</f>
        <v>S10100</v>
      </c>
      <c r="C113" s="1" t="str">
        <f>IF(③T11_ルーム情報!C113="","",③T11_ルーム情報!C113)</f>
        <v>ナフコ宝神校</v>
      </c>
      <c r="D113" s="1" t="str">
        <f>IF(③T11_ルーム情報!D113="","",③T11_ルーム情報!D113)</f>
        <v>ROOM1</v>
      </c>
      <c r="E113" s="1">
        <f>IF(③T11_ルーム情報!E113="","",③T11_ルーム情報!E113)</f>
        <v>10</v>
      </c>
      <c r="F113" s="1" t="str">
        <f>IF(③T11_ルーム情報!F113="","",③T11_ルーム情報!F113)</f>
        <v>アン/そろ/筆</v>
      </c>
    </row>
    <row r="114" spans="1:6" x14ac:dyDescent="0.4">
      <c r="A114" s="1" t="str">
        <f>IF(③T11_ルーム情報!A114="","",③T11_ルーム情報!A114)</f>
        <v/>
      </c>
      <c r="B114" s="1" t="str">
        <f>IF(③T11_ルーム情報!B114="","",③T11_ルーム情報!B114)</f>
        <v>S10101</v>
      </c>
      <c r="C114" s="1" t="str">
        <f>IF(③T11_ルーム情報!C114="","",③T11_ルーム情報!C114)</f>
        <v>牛山校</v>
      </c>
      <c r="D114" s="1" t="str">
        <f>IF(③T11_ルーム情報!D114="","",③T11_ルーム情報!D114)</f>
        <v>ROOM1</v>
      </c>
      <c r="E114" s="1">
        <f>IF(③T11_ルーム情報!E114="","",③T11_ルーム情報!E114)</f>
        <v>8</v>
      </c>
      <c r="F114" s="1" t="str">
        <f>IF(③T11_ルーム情報!F114="","",③T11_ルーム情報!F114)</f>
        <v>アン</v>
      </c>
    </row>
    <row r="115" spans="1:6" x14ac:dyDescent="0.4">
      <c r="A115" s="1" t="str">
        <f>IF(③T11_ルーム情報!A115="","",③T11_ルーム情報!A115)</f>
        <v/>
      </c>
      <c r="B115" s="1" t="str">
        <f>IF(③T11_ルーム情報!B115="","",③T11_ルーム情報!B115)</f>
        <v>S10101</v>
      </c>
      <c r="C115" s="1" t="str">
        <f>IF(③T11_ルーム情報!C115="","",③T11_ルーム情報!C115)</f>
        <v>牛山校</v>
      </c>
      <c r="D115" s="1" t="str">
        <f>IF(③T11_ルーム情報!D115="","",③T11_ルーム情報!D115)</f>
        <v>ROOM2</v>
      </c>
      <c r="E115" s="1">
        <f>IF(③T11_ルーム情報!E115="","",③T11_ルーム情報!E115)</f>
        <v>8</v>
      </c>
      <c r="F115" s="1" t="str">
        <f>IF(③T11_ルーム情報!F115="","",③T11_ルーム情報!F115)</f>
        <v>そろばん</v>
      </c>
    </row>
    <row r="116" spans="1:6" x14ac:dyDescent="0.4">
      <c r="A116" s="1" t="str">
        <f>IF(③T11_ルーム情報!A116="","",③T11_ルーム情報!A116)</f>
        <v/>
      </c>
      <c r="B116" s="1" t="str">
        <f>IF(③T11_ルーム情報!B116="","",③T11_ルーム情報!B116)</f>
        <v>S10106</v>
      </c>
      <c r="C116" s="1" t="str">
        <f>IF(③T11_ルーム情報!C116="","",③T11_ルーム情報!C116)</f>
        <v>岡崎校</v>
      </c>
      <c r="D116" s="1" t="str">
        <f>IF(③T11_ルーム情報!D116="","",③T11_ルーム情報!D116)</f>
        <v>ROOM1</v>
      </c>
      <c r="E116" s="1">
        <f>IF(③T11_ルーム情報!E116="","",③T11_ルーム情報!E116)</f>
        <v>4</v>
      </c>
      <c r="F116" s="1" t="str">
        <f>IF(③T11_ルーム情報!F116="","",③T11_ルーム情報!F116)</f>
        <v>A1　面談室</v>
      </c>
    </row>
    <row r="117" spans="1:6" x14ac:dyDescent="0.4">
      <c r="A117" s="1" t="str">
        <f>IF(③T11_ルーム情報!A117="","",③T11_ルーム情報!A117)</f>
        <v/>
      </c>
      <c r="B117" s="1" t="str">
        <f>IF(③T11_ルーム情報!B117="","",③T11_ルーム情報!B117)</f>
        <v>S10106</v>
      </c>
      <c r="C117" s="1" t="str">
        <f>IF(③T11_ルーム情報!C117="","",③T11_ルーム情報!C117)</f>
        <v>岡崎校</v>
      </c>
      <c r="D117" s="1" t="str">
        <f>IF(③T11_ルーム情報!D117="","",③T11_ルーム情報!D117)</f>
        <v>ROOM2</v>
      </c>
      <c r="E117" s="1">
        <f>IF(③T11_ルーム情報!E117="","",③T11_ルーム情報!E117)</f>
        <v>16</v>
      </c>
      <c r="F117" s="1" t="str">
        <f>IF(③T11_ルーム情報!F117="","",③T11_ルーム情報!F117)</f>
        <v>A2　そろばん/小学受験科</v>
      </c>
    </row>
    <row r="118" spans="1:6" x14ac:dyDescent="0.4">
      <c r="A118" s="1" t="str">
        <f>IF(③T11_ルーム情報!A118="","",③T11_ルーム情報!A118)</f>
        <v/>
      </c>
      <c r="B118" s="1" t="str">
        <f>IF(③T11_ルーム情報!B118="","",③T11_ルーム情報!B118)</f>
        <v>S10106</v>
      </c>
      <c r="C118" s="1" t="str">
        <f>IF(③T11_ルーム情報!C118="","",③T11_ルーム情報!C118)</f>
        <v>岡崎校</v>
      </c>
      <c r="D118" s="1" t="str">
        <f>IF(③T11_ルーム情報!D118="","",③T11_ルーム情報!D118)</f>
        <v>ROOM3</v>
      </c>
      <c r="E118" s="1">
        <f>IF(③T11_ルーム情報!E118="","",③T11_ルーム情報!E118)</f>
        <v>16</v>
      </c>
      <c r="F118" s="1" t="str">
        <f>IF(③T11_ルーム情報!F118="","",③T11_ルーム情報!F118)</f>
        <v>B　アン学びワールド/AEC</v>
      </c>
    </row>
    <row r="119" spans="1:6" x14ac:dyDescent="0.4">
      <c r="A119" s="1" t="str">
        <f>IF(③T11_ルーム情報!A119="","",③T11_ルーム情報!A119)</f>
        <v/>
      </c>
      <c r="B119" s="1" t="str">
        <f>IF(③T11_ルーム情報!B119="","",③T11_ルーム情報!B119)</f>
        <v>S10106</v>
      </c>
      <c r="C119" s="1" t="str">
        <f>IF(③T11_ルーム情報!C119="","",③T11_ルーム情報!C119)</f>
        <v>岡崎校</v>
      </c>
      <c r="D119" s="1" t="str">
        <f>IF(③T11_ルーム情報!D119="","",③T11_ルーム情報!D119)</f>
        <v>ROOM4</v>
      </c>
      <c r="E119" s="1">
        <f>IF(③T11_ルーム情報!E119="","",③T11_ルーム情報!E119)</f>
        <v>22</v>
      </c>
      <c r="F119" s="1" t="str">
        <f>IF(③T11_ルーム情報!F119="","",③T11_ルーム情報!F119)</f>
        <v>C1　塾/プログラミング/将棋</v>
      </c>
    </row>
    <row r="120" spans="1:6" x14ac:dyDescent="0.4">
      <c r="A120" s="1" t="str">
        <f>IF(③T11_ルーム情報!A120="","",③T11_ルーム情報!A120)</f>
        <v/>
      </c>
      <c r="B120" s="1" t="str">
        <f>IF(③T11_ルーム情報!B120="","",③T11_ルーム情報!B120)</f>
        <v>S10106</v>
      </c>
      <c r="C120" s="1" t="str">
        <f>IF(③T11_ルーム情報!C120="","",③T11_ルーム情報!C120)</f>
        <v>岡崎校</v>
      </c>
      <c r="D120" s="1" t="str">
        <f>IF(③T11_ルーム情報!D120="","",③T11_ルーム情報!D120)</f>
        <v>ROOM5</v>
      </c>
      <c r="E120" s="1">
        <f>IF(③T11_ルーム情報!E120="","",③T11_ルーム情報!E120)</f>
        <v>16</v>
      </c>
      <c r="F120" s="1" t="str">
        <f>IF(③T11_ルーム情報!F120="","",③T11_ルーム情報!F120)</f>
        <v>C2　習字/Lepton</v>
      </c>
    </row>
    <row r="121" spans="1:6" x14ac:dyDescent="0.4">
      <c r="A121" s="1" t="str">
        <f>IF(③T11_ルーム情報!A121="","",③T11_ルーム情報!A121)</f>
        <v/>
      </c>
      <c r="B121" s="1" t="str">
        <f>IF(③T11_ルーム情報!B121="","",③T11_ルーム情報!B121)</f>
        <v>S10107</v>
      </c>
      <c r="C121" s="1" t="str">
        <f>IF(③T11_ルーム情報!C121="","",③T11_ルーム情報!C121)</f>
        <v>康生校</v>
      </c>
      <c r="D121" s="1" t="str">
        <f>IF(③T11_ルーム情報!D121="","",③T11_ルーム情報!D121)</f>
        <v>ROOM1</v>
      </c>
      <c r="E121" s="1">
        <f>IF(③T11_ルーム情報!E121="","",③T11_ルーム情報!E121)</f>
        <v>17</v>
      </c>
      <c r="F121" s="1" t="str">
        <f>IF(③T11_ルーム情報!F121="","",③T11_ルーム情報!F121)</f>
        <v>4F A　そろばん/小学受験科</v>
      </c>
    </row>
    <row r="122" spans="1:6" x14ac:dyDescent="0.4">
      <c r="A122" s="1" t="str">
        <f>IF(③T11_ルーム情報!A122="","",③T11_ルーム情報!A122)</f>
        <v/>
      </c>
      <c r="B122" s="1" t="str">
        <f>IF(③T11_ルーム情報!B122="","",③T11_ルーム情報!B122)</f>
        <v>S10107</v>
      </c>
      <c r="C122" s="1" t="str">
        <f>IF(③T11_ルーム情報!C122="","",③T11_ルーム情報!C122)</f>
        <v>康生校</v>
      </c>
      <c r="D122" s="1" t="str">
        <f>IF(③T11_ルーム情報!D122="","",③T11_ルーム情報!D122)</f>
        <v>ROOM2</v>
      </c>
      <c r="E122" s="1">
        <f>IF(③T11_ルーム情報!E122="","",③T11_ルーム情報!E122)</f>
        <v>21</v>
      </c>
      <c r="F122" s="1" t="str">
        <f>IF(③T11_ルーム情報!F122="","",③T11_ルーム情報!F122)</f>
        <v>4F B　塾/Lepton</v>
      </c>
    </row>
    <row r="123" spans="1:6" x14ac:dyDescent="0.4">
      <c r="A123" s="1" t="str">
        <f>IF(③T11_ルーム情報!A123="","",③T11_ルーム情報!A123)</f>
        <v/>
      </c>
      <c r="B123" s="1" t="str">
        <f>IF(③T11_ルーム情報!B123="","",③T11_ルーム情報!B123)</f>
        <v>S10107</v>
      </c>
      <c r="C123" s="1" t="str">
        <f>IF(③T11_ルーム情報!C123="","",③T11_ルーム情報!C123)</f>
        <v>康生校</v>
      </c>
      <c r="D123" s="1" t="str">
        <f>IF(③T11_ルーム情報!D123="","",③T11_ルーム情報!D123)</f>
        <v>ROOM3</v>
      </c>
      <c r="E123" s="1">
        <f>IF(③T11_ルーム情報!E123="","",③T11_ルーム情報!E123)</f>
        <v>7</v>
      </c>
      <c r="F123" s="1" t="str">
        <f>IF(③T11_ルーム情報!F123="","",③T11_ルーム情報!F123)</f>
        <v>4F C　小学受験科/自習室</v>
      </c>
    </row>
    <row r="124" spans="1:6" x14ac:dyDescent="0.4">
      <c r="A124" s="1" t="str">
        <f>IF(③T11_ルーム情報!A124="","",③T11_ルーム情報!A124)</f>
        <v/>
      </c>
      <c r="B124" s="1" t="str">
        <f>IF(③T11_ルーム情報!B124="","",③T11_ルーム情報!B124)</f>
        <v>S10107</v>
      </c>
      <c r="C124" s="1" t="str">
        <f>IF(③T11_ルーム情報!C124="","",③T11_ルーム情報!C124)</f>
        <v>康生校</v>
      </c>
      <c r="D124" s="1" t="str">
        <f>IF(③T11_ルーム情報!D124="","",③T11_ルーム情報!D124)</f>
        <v>ROOM4</v>
      </c>
      <c r="E124" s="1">
        <f>IF(③T11_ルーム情報!E124="","",③T11_ルーム情報!E124)</f>
        <v>24</v>
      </c>
      <c r="F124" s="1" t="str">
        <f>IF(③T11_ルーム情報!F124="","",③T11_ルーム情報!F124)</f>
        <v>5F A　附小サクセス/塾</v>
      </c>
    </row>
    <row r="125" spans="1:6" x14ac:dyDescent="0.4">
      <c r="A125" s="1" t="str">
        <f>IF(③T11_ルーム情報!A125="","",③T11_ルーム情報!A125)</f>
        <v/>
      </c>
      <c r="B125" s="1" t="str">
        <f>IF(③T11_ルーム情報!B125="","",③T11_ルーム情報!B125)</f>
        <v>S10107</v>
      </c>
      <c r="C125" s="1" t="str">
        <f>IF(③T11_ルーム情報!C125="","",③T11_ルーム情報!C125)</f>
        <v>康生校</v>
      </c>
      <c r="D125" s="1" t="str">
        <f>IF(③T11_ルーム情報!D125="","",③T11_ルーム情報!D125)</f>
        <v>ROOM5</v>
      </c>
      <c r="E125" s="1">
        <f>IF(③T11_ルーム情報!E125="","",③T11_ルーム情報!E125)</f>
        <v>10</v>
      </c>
      <c r="F125" s="1" t="str">
        <f>IF(③T11_ルーム情報!F125="","",③T11_ルーム情報!F125)</f>
        <v>5F B　習字/AEC</v>
      </c>
    </row>
    <row r="126" spans="1:6" x14ac:dyDescent="0.4">
      <c r="A126" s="1" t="str">
        <f>IF(③T11_ルーム情報!A126="","",③T11_ルーム情報!A126)</f>
        <v/>
      </c>
      <c r="B126" s="1" t="str">
        <f>IF(③T11_ルーム情報!B126="","",③T11_ルーム情報!B126)</f>
        <v>S10109</v>
      </c>
      <c r="C126" s="1" t="str">
        <f>IF(③T11_ルーム情報!C126="","",③T11_ルーム情報!C126)</f>
        <v>長森南校</v>
      </c>
      <c r="D126" s="1" t="str">
        <f>IF(③T11_ルーム情報!D126="","",③T11_ルーム情報!D126)</f>
        <v>ROOM1</v>
      </c>
      <c r="E126" s="1">
        <f>IF(③T11_ルーム情報!E126="","",③T11_ルーム情報!E126)</f>
        <v>12</v>
      </c>
      <c r="F126" s="1" t="str">
        <f>IF(③T11_ルーム情報!F126="","",③T11_ルーム情報!F126)</f>
        <v>アン</v>
      </c>
    </row>
    <row r="127" spans="1:6" x14ac:dyDescent="0.4">
      <c r="A127" s="1" t="str">
        <f>IF(③T11_ルーム情報!A127="","",③T11_ルーム情報!A127)</f>
        <v/>
      </c>
      <c r="B127" s="1" t="str">
        <f>IF(③T11_ルーム情報!B127="","",③T11_ルーム情報!B127)</f>
        <v>S10109</v>
      </c>
      <c r="C127" s="1" t="str">
        <f>IF(③T11_ルーム情報!C127="","",③T11_ルーム情報!C127)</f>
        <v>長森南校</v>
      </c>
      <c r="D127" s="1" t="str">
        <f>IF(③T11_ルーム情報!D127="","",③T11_ルーム情報!D127)</f>
        <v>ROOM2</v>
      </c>
      <c r="E127" s="1">
        <f>IF(③T11_ルーム情報!E127="","",③T11_ルーム情報!E127)</f>
        <v>16</v>
      </c>
      <c r="F127" s="1" t="str">
        <f>IF(③T11_ルーム情報!F127="","",③T11_ルーム情報!F127)</f>
        <v>そろばん･筆っこ</v>
      </c>
    </row>
    <row r="128" spans="1:6" x14ac:dyDescent="0.4">
      <c r="A128" s="1" t="str">
        <f>IF(③T11_ルーム情報!A128="","",③T11_ルーム情報!A128)</f>
        <v/>
      </c>
      <c r="B128" s="1" t="str">
        <f>IF(③T11_ルーム情報!B128="","",③T11_ルーム情報!B128)</f>
        <v>S10113</v>
      </c>
      <c r="C128" s="1" t="str">
        <f>IF(③T11_ルーム情報!C128="","",③T11_ルーム情報!C128)</f>
        <v>河和校</v>
      </c>
      <c r="D128" s="1" t="str">
        <f>IF(③T11_ルーム情報!D128="","",③T11_ルーム情報!D128)</f>
        <v>ROOM1</v>
      </c>
      <c r="E128" s="1">
        <f>IF(③T11_ルーム情報!E128="","",③T11_ルーム情報!E128)</f>
        <v>8</v>
      </c>
      <c r="F128" s="1" t="str">
        <f>IF(③T11_ルーム情報!F128="","",③T11_ルーム情報!F128)</f>
        <v>1F アン</v>
      </c>
    </row>
    <row r="129" spans="1:6" x14ac:dyDescent="0.4">
      <c r="A129" s="1" t="str">
        <f>IF(③T11_ルーム情報!A129="","",③T11_ルーム情報!A129)</f>
        <v/>
      </c>
      <c r="B129" s="1" t="str">
        <f>IF(③T11_ルーム情報!B129="","",③T11_ルーム情報!B129)</f>
        <v>S10113</v>
      </c>
      <c r="C129" s="1" t="str">
        <f>IF(③T11_ルーム情報!C129="","",③T11_ルーム情報!C129)</f>
        <v>河和校</v>
      </c>
      <c r="D129" s="1" t="str">
        <f>IF(③T11_ルーム情報!D129="","",③T11_ルーム情報!D129)</f>
        <v>ROOM2</v>
      </c>
      <c r="E129" s="1">
        <f>IF(③T11_ルーム情報!E129="","",③T11_ルーム情報!E129)</f>
        <v>9</v>
      </c>
      <c r="F129" s="1" t="str">
        <f>IF(③T11_ルーム情報!F129="","",③T11_ルーム情報!F129)</f>
        <v>2F そろばん･筆っこ</v>
      </c>
    </row>
    <row r="130" spans="1:6" x14ac:dyDescent="0.4">
      <c r="A130" s="1" t="str">
        <f>IF(③T11_ルーム情報!A130="","",③T11_ルーム情報!A130)</f>
        <v/>
      </c>
      <c r="B130" s="1" t="str">
        <f>IF(③T11_ルーム情報!B130="","",③T11_ルーム情報!B130)</f>
        <v>S10113</v>
      </c>
      <c r="C130" s="1" t="str">
        <f>IF(③T11_ルーム情報!C130="","",③T11_ルーム情報!C130)</f>
        <v>河和校</v>
      </c>
      <c r="D130" s="1" t="str">
        <f>IF(③T11_ルーム情報!D130="","",③T11_ルーム情報!D130)</f>
        <v>ROOM3</v>
      </c>
      <c r="E130" s="1">
        <f>IF(③T11_ルーム情報!E130="","",③T11_ルーム情報!E130)</f>
        <v>0</v>
      </c>
      <c r="F130" s="1" t="str">
        <f>IF(③T11_ルーム情報!F130="","",③T11_ルーム情報!F130)</f>
        <v>3F 施錠された部屋</v>
      </c>
    </row>
    <row r="131" spans="1:6" x14ac:dyDescent="0.4">
      <c r="A131" s="1" t="str">
        <f>IF(③T11_ルーム情報!A131="","",③T11_ルーム情報!A131)</f>
        <v/>
      </c>
      <c r="B131" s="1" t="str">
        <f>IF(③T11_ルーム情報!B131="","",③T11_ルーム情報!B131)</f>
        <v>S10112</v>
      </c>
      <c r="C131" s="1" t="str">
        <f>IF(③T11_ルーム情報!C131="","",③T11_ルーム情報!C131)</f>
        <v>ナフコサンライフ校</v>
      </c>
      <c r="D131" s="1" t="str">
        <f>IF(③T11_ルーム情報!D131="","",③T11_ルーム情報!D131)</f>
        <v>ROOM1</v>
      </c>
      <c r="E131" s="1">
        <f>IF(③T11_ルーム情報!E131="","",③T11_ルーム情報!E131)</f>
        <v>19</v>
      </c>
      <c r="F131" s="1" t="str">
        <f>IF(③T11_ルーム情報!F131="","",③T11_ルーム情報!F131)</f>
        <v>アン/そろ/筆</v>
      </c>
    </row>
    <row r="132" spans="1:6" x14ac:dyDescent="0.4">
      <c r="A132" s="1" t="str">
        <f>IF(③T11_ルーム情報!A132="","",③T11_ルーム情報!A132)</f>
        <v/>
      </c>
      <c r="B132" s="1" t="str">
        <f>IF(③T11_ルーム情報!B132="","",③T11_ルーム情報!B132)</f>
        <v>S10156</v>
      </c>
      <c r="C132" s="1" t="str">
        <f>IF(③T11_ルーム情報!C132="","",③T11_ルーム情報!C132)</f>
        <v>大高校</v>
      </c>
      <c r="D132" s="1" t="str">
        <f>IF(③T11_ルーム情報!D132="","",③T11_ルーム情報!D132)</f>
        <v>ROOM1</v>
      </c>
      <c r="E132" s="1">
        <f>IF(③T11_ルーム情報!E132="","",③T11_ルーム情報!E132)</f>
        <v>30</v>
      </c>
      <c r="F132" s="1" t="str">
        <f>IF(③T11_ルーム情報!F132="","",③T11_ルーム情報!F132)</f>
        <v>1Fアン塾</v>
      </c>
    </row>
    <row r="133" spans="1:6" x14ac:dyDescent="0.4">
      <c r="A133" s="1" t="str">
        <f>IF(③T11_ルーム情報!A133="","",③T11_ルーム情報!A133)</f>
        <v/>
      </c>
      <c r="B133" s="1" t="str">
        <f>IF(③T11_ルーム情報!B133="","",③T11_ルーム情報!B133)</f>
        <v>S10156</v>
      </c>
      <c r="C133" s="1" t="str">
        <f>IF(③T11_ルーム情報!C133="","",③T11_ルーム情報!C133)</f>
        <v>大高校</v>
      </c>
      <c r="D133" s="1" t="str">
        <f>IF(③T11_ルーム情報!D133="","",③T11_ルーム情報!D133)</f>
        <v>ROOM2</v>
      </c>
      <c r="E133" s="1">
        <f>IF(③T11_ルーム情報!E133="","",③T11_ルーム情報!E133)</f>
        <v>20</v>
      </c>
      <c r="F133" s="1" t="str">
        <f>IF(③T11_ルーム情報!F133="","",③T11_ルーム情報!F133)</f>
        <v>2F①塾</v>
      </c>
    </row>
    <row r="134" spans="1:6" x14ac:dyDescent="0.4">
      <c r="A134" s="1" t="str">
        <f>IF(③T11_ルーム情報!A134="","",③T11_ルーム情報!A134)</f>
        <v/>
      </c>
      <c r="B134" s="1" t="str">
        <f>IF(③T11_ルーム情報!B134="","",③T11_ルーム情報!B134)</f>
        <v>S10156</v>
      </c>
      <c r="C134" s="1" t="str">
        <f>IF(③T11_ルーム情報!C134="","",③T11_ルーム情報!C134)</f>
        <v>大高校</v>
      </c>
      <c r="D134" s="1" t="str">
        <f>IF(③T11_ルーム情報!D134="","",③T11_ルーム情報!D134)</f>
        <v>ROOM3</v>
      </c>
      <c r="E134" s="1">
        <f>IF(③T11_ルーム情報!E134="","",③T11_ルーム情報!E134)</f>
        <v>20</v>
      </c>
      <c r="F134" s="1" t="str">
        <f>IF(③T11_ルーム情報!F134="","",③T11_ルーム情報!F134)</f>
        <v>2F②そろ筆塾</v>
      </c>
    </row>
    <row r="135" spans="1:6" x14ac:dyDescent="0.4">
      <c r="A135" s="1" t="str">
        <f>IF(③T11_ルーム情報!A135="","",③T11_ルーム情報!A135)</f>
        <v/>
      </c>
      <c r="B135" s="1" t="str">
        <f>IF(③T11_ルーム情報!B135="","",③T11_ルーム情報!B135)</f>
        <v>S10156</v>
      </c>
      <c r="C135" s="1" t="str">
        <f>IF(③T11_ルーム情報!C135="","",③T11_ルーム情報!C135)</f>
        <v>大高校</v>
      </c>
      <c r="D135" s="1" t="str">
        <f>IF(③T11_ルーム情報!D135="","",③T11_ルーム情報!D135)</f>
        <v>ROOM4</v>
      </c>
      <c r="E135" s="1">
        <f>IF(③T11_ルーム情報!E135="","",③T11_ルーム情報!E135)</f>
        <v>30</v>
      </c>
      <c r="F135" s="1" t="str">
        <f>IF(③T11_ルーム情報!F135="","",③T11_ルーム情報!F135)</f>
        <v>2F③塾</v>
      </c>
    </row>
    <row r="136" spans="1:6" x14ac:dyDescent="0.4">
      <c r="A136" s="1" t="str">
        <f>IF(③T11_ルーム情報!A136="","",③T11_ルーム情報!A136)</f>
        <v/>
      </c>
      <c r="B136" s="1" t="str">
        <f>IF(③T11_ルーム情報!B136="","",③T11_ルーム情報!B136)</f>
        <v>S10157</v>
      </c>
      <c r="C136" s="1" t="str">
        <f>IF(③T11_ルーム情報!C136="","",③T11_ルーム情報!C136)</f>
        <v>有松校</v>
      </c>
      <c r="D136" s="1" t="str">
        <f>IF(③T11_ルーム情報!D136="","",③T11_ルーム情報!D136)</f>
        <v>ROOM1</v>
      </c>
      <c r="E136" s="1">
        <f>IF(③T11_ルーム情報!E136="","",③T11_ルーム情報!E136)</f>
        <v>18</v>
      </c>
      <c r="F136" s="1" t="str">
        <f>IF(③T11_ルーム情報!F136="","",③T11_ルーム情報!F136)</f>
        <v>1Fアンそろ筆塾</v>
      </c>
    </row>
    <row r="137" spans="1:6" x14ac:dyDescent="0.4">
      <c r="A137" s="1" t="str">
        <f>IF(③T11_ルーム情報!A137="","",③T11_ルーム情報!A137)</f>
        <v/>
      </c>
      <c r="B137" s="1" t="str">
        <f>IF(③T11_ルーム情報!B137="","",③T11_ルーム情報!B137)</f>
        <v>S10157</v>
      </c>
      <c r="C137" s="1" t="str">
        <f>IF(③T11_ルーム情報!C137="","",③T11_ルーム情報!C137)</f>
        <v>有松校</v>
      </c>
      <c r="D137" s="1" t="str">
        <f>IF(③T11_ルーム情報!D137="","",③T11_ルーム情報!D137)</f>
        <v>ROOM2</v>
      </c>
      <c r="E137" s="1">
        <f>IF(③T11_ルーム情報!E137="","",③T11_ルーム情報!E137)</f>
        <v>24</v>
      </c>
      <c r="F137" s="1" t="str">
        <f>IF(③T11_ルーム情報!F137="","",③T11_ルーム情報!F137)</f>
        <v>2F①塾</v>
      </c>
    </row>
    <row r="138" spans="1:6" x14ac:dyDescent="0.4">
      <c r="A138" s="1" t="str">
        <f>IF(③T11_ルーム情報!A138="","",③T11_ルーム情報!A138)</f>
        <v/>
      </c>
      <c r="B138" s="1" t="str">
        <f>IF(③T11_ルーム情報!B138="","",③T11_ルーム情報!B138)</f>
        <v>S10157</v>
      </c>
      <c r="C138" s="1" t="str">
        <f>IF(③T11_ルーム情報!C138="","",③T11_ルーム情報!C138)</f>
        <v>有松校</v>
      </c>
      <c r="D138" s="1" t="str">
        <f>IF(③T11_ルーム情報!D138="","",③T11_ルーム情報!D138)</f>
        <v>ROOM3</v>
      </c>
      <c r="E138" s="1">
        <f>IF(③T11_ルーム情報!E138="","",③T11_ルーム情報!E138)</f>
        <v>20</v>
      </c>
      <c r="F138" s="1" t="str">
        <f>IF(③T11_ルーム情報!F138="","",③T11_ルーム情報!F138)</f>
        <v>2F②塾</v>
      </c>
    </row>
    <row r="139" spans="1:6" x14ac:dyDescent="0.4">
      <c r="A139" s="1" t="str">
        <f>IF(③T11_ルーム情報!A139="","",③T11_ルーム情報!A139)</f>
        <v/>
      </c>
      <c r="B139" s="1" t="str">
        <f>IF(③T11_ルーム情報!B139="","",③T11_ルーム情報!B139)</f>
        <v>S10158</v>
      </c>
      <c r="C139" s="1" t="str">
        <f>IF(③T11_ルーム情報!C139="","",③T11_ルーム情報!C139)</f>
        <v>荒尾校</v>
      </c>
      <c r="D139" s="1" t="str">
        <f>IF(③T11_ルーム情報!D139="","",③T11_ルーム情報!D139)</f>
        <v>ROOM1</v>
      </c>
      <c r="E139" s="1">
        <f>IF(③T11_ルーム情報!E139="","",③T11_ルーム情報!E139)</f>
        <v>24</v>
      </c>
      <c r="F139" s="1" t="str">
        <f>IF(③T11_ルーム情報!F139="","",③T11_ルーム情報!F139)</f>
        <v>1Fアン筆塾</v>
      </c>
    </row>
    <row r="140" spans="1:6" x14ac:dyDescent="0.4">
      <c r="A140" s="1" t="str">
        <f>IF(③T11_ルーム情報!A140="","",③T11_ルーム情報!A140)</f>
        <v/>
      </c>
      <c r="B140" s="1" t="str">
        <f>IF(③T11_ルーム情報!B140="","",③T11_ルーム情報!B140)</f>
        <v>S10158</v>
      </c>
      <c r="C140" s="1" t="str">
        <f>IF(③T11_ルーム情報!C140="","",③T11_ルーム情報!C140)</f>
        <v>荒尾校</v>
      </c>
      <c r="D140" s="1" t="str">
        <f>IF(③T11_ルーム情報!D140="","",③T11_ルーム情報!D140)</f>
        <v>ROOM2</v>
      </c>
      <c r="E140" s="1">
        <f>IF(③T11_ルーム情報!E140="","",③T11_ルーム情報!E140)</f>
        <v>28</v>
      </c>
      <c r="F140" s="1" t="str">
        <f>IF(③T11_ルーム情報!F140="","",③T11_ルーム情報!F140)</f>
        <v>2F①そろ塾</v>
      </c>
    </row>
    <row r="141" spans="1:6" x14ac:dyDescent="0.4">
      <c r="A141" s="1" t="str">
        <f>IF(③T11_ルーム情報!A141="","",③T11_ルーム情報!A141)</f>
        <v/>
      </c>
      <c r="B141" s="1" t="str">
        <f>IF(③T11_ルーム情報!B141="","",③T11_ルーム情報!B141)</f>
        <v>S10158</v>
      </c>
      <c r="C141" s="1" t="str">
        <f>IF(③T11_ルーム情報!C141="","",③T11_ルーム情報!C141)</f>
        <v>荒尾校</v>
      </c>
      <c r="D141" s="1" t="str">
        <f>IF(③T11_ルーム情報!D141="","",③T11_ルーム情報!D141)</f>
        <v>ROOM3</v>
      </c>
      <c r="E141" s="1">
        <f>IF(③T11_ルーム情報!E141="","",③T11_ルーム情報!E141)</f>
        <v>23</v>
      </c>
      <c r="F141" s="1" t="str">
        <f>IF(③T11_ルーム情報!F141="","",③T11_ルーム情報!F141)</f>
        <v>2F②塾</v>
      </c>
    </row>
    <row r="142" spans="1:6" x14ac:dyDescent="0.4">
      <c r="A142" s="1" t="str">
        <f>IF(③T11_ルーム情報!A142="","",③T11_ルーム情報!A142)</f>
        <v/>
      </c>
      <c r="B142" s="1" t="str">
        <f>IF(③T11_ルーム情報!B142="","",③T11_ルーム情報!B142)</f>
        <v>S10159</v>
      </c>
      <c r="C142" s="1" t="str">
        <f>IF(③T11_ルーム情報!C142="","",③T11_ルーム情報!C142)</f>
        <v>横須賀校</v>
      </c>
      <c r="D142" s="1" t="str">
        <f>IF(③T11_ルーム情報!D142="","",③T11_ルーム情報!D142)</f>
        <v>ROOM1</v>
      </c>
      <c r="E142" s="1">
        <f>IF(③T11_ルーム情報!E142="","",③T11_ルーム情報!E142)</f>
        <v>25</v>
      </c>
      <c r="F142" s="1" t="str">
        <f>IF(③T11_ルーム情報!F142="","",③T11_ルーム情報!F142)</f>
        <v>1F塾</v>
      </c>
    </row>
    <row r="143" spans="1:6" x14ac:dyDescent="0.4">
      <c r="A143" s="1" t="str">
        <f>IF(③T11_ルーム情報!A143="","",③T11_ルーム情報!A143)</f>
        <v/>
      </c>
      <c r="B143" s="1" t="str">
        <f>IF(③T11_ルーム情報!B143="","",③T11_ルーム情報!B143)</f>
        <v>S10159</v>
      </c>
      <c r="C143" s="1" t="str">
        <f>IF(③T11_ルーム情報!C143="","",③T11_ルーム情報!C143)</f>
        <v>横須賀校</v>
      </c>
      <c r="D143" s="1" t="str">
        <f>IF(③T11_ルーム情報!D143="","",③T11_ルーム情報!D143)</f>
        <v>ROOM2</v>
      </c>
      <c r="E143" s="1">
        <f>IF(③T11_ルーム情報!E143="","",③T11_ルーム情報!E143)</f>
        <v>25</v>
      </c>
      <c r="F143" s="1" t="str">
        <f>IF(③T11_ルーム情報!F143="","",③T11_ルーム情報!F143)</f>
        <v>2F①塾</v>
      </c>
    </row>
    <row r="144" spans="1:6" x14ac:dyDescent="0.4">
      <c r="A144" s="1" t="str">
        <f>IF(③T11_ルーム情報!A144="","",③T11_ルーム情報!A144)</f>
        <v/>
      </c>
      <c r="B144" s="1" t="str">
        <f>IF(③T11_ルーム情報!B144="","",③T11_ルーム情報!B144)</f>
        <v>S10159</v>
      </c>
      <c r="C144" s="1" t="str">
        <f>IF(③T11_ルーム情報!C144="","",③T11_ルーム情報!C144)</f>
        <v>横須賀校</v>
      </c>
      <c r="D144" s="1" t="str">
        <f>IF(③T11_ルーム情報!D144="","",③T11_ルーム情報!D144)</f>
        <v>ROOM3</v>
      </c>
      <c r="E144" s="1">
        <f>IF(③T11_ルーム情報!E144="","",③T11_ルーム情報!E144)</f>
        <v>25</v>
      </c>
      <c r="F144" s="1" t="str">
        <f>IF(③T11_ルーム情報!F144="","",③T11_ルーム情報!F144)</f>
        <v>2F②塾</v>
      </c>
    </row>
    <row r="145" spans="1:6" x14ac:dyDescent="0.4">
      <c r="A145" s="1" t="str">
        <f>IF(③T11_ルーム情報!A145="","",③T11_ルーム情報!A145)</f>
        <v/>
      </c>
      <c r="B145" s="1" t="str">
        <f>IF(③T11_ルーム情報!B145="","",③T11_ルーム情報!B145)</f>
        <v>S10161</v>
      </c>
      <c r="C145" s="1" t="str">
        <f>IF(③T11_ルーム情報!C145="","",③T11_ルーム情報!C145)</f>
        <v>新大府校</v>
      </c>
      <c r="D145" s="1" t="str">
        <f>IF(③T11_ルーム情報!D145="","",③T11_ルーム情報!D145)</f>
        <v>ROOM1</v>
      </c>
      <c r="E145" s="1">
        <f>IF(③T11_ルーム情報!E145="","",③T11_ルーム情報!E145)</f>
        <v>26</v>
      </c>
      <c r="F145" s="1" t="str">
        <f>IF(③T11_ルーム情報!F145="","",③T11_ルーム情報!F145)</f>
        <v>1Fアン塾</v>
      </c>
    </row>
    <row r="146" spans="1:6" x14ac:dyDescent="0.4">
      <c r="A146" s="1" t="str">
        <f>IF(③T11_ルーム情報!A146="","",③T11_ルーム情報!A146)</f>
        <v/>
      </c>
      <c r="B146" s="1" t="str">
        <f>IF(③T11_ルーム情報!B146="","",③T11_ルーム情報!B146)</f>
        <v>S10161</v>
      </c>
      <c r="C146" s="1" t="str">
        <f>IF(③T11_ルーム情報!C146="","",③T11_ルーム情報!C146)</f>
        <v>新大府校</v>
      </c>
      <c r="D146" s="1" t="str">
        <f>IF(③T11_ルーム情報!D146="","",③T11_ルーム情報!D146)</f>
        <v>ROOM2</v>
      </c>
      <c r="E146" s="1">
        <f>IF(③T11_ルーム情報!E146="","",③T11_ルーム情報!E146)</f>
        <v>23</v>
      </c>
      <c r="F146" s="1" t="str">
        <f>IF(③T11_ルーム情報!F146="","",③T11_ルーム情報!F146)</f>
        <v>2F①そろ筆塾</v>
      </c>
    </row>
    <row r="147" spans="1:6" x14ac:dyDescent="0.4">
      <c r="A147" s="1" t="str">
        <f>IF(③T11_ルーム情報!A147="","",③T11_ルーム情報!A147)</f>
        <v/>
      </c>
      <c r="B147" s="1" t="str">
        <f>IF(③T11_ルーム情報!B147="","",③T11_ルーム情報!B147)</f>
        <v>S10161</v>
      </c>
      <c r="C147" s="1" t="str">
        <f>IF(③T11_ルーム情報!C147="","",③T11_ルーム情報!C147)</f>
        <v>新大府校</v>
      </c>
      <c r="D147" s="1" t="str">
        <f>IF(③T11_ルーム情報!D147="","",③T11_ルーム情報!D147)</f>
        <v>ROOM3</v>
      </c>
      <c r="E147" s="1">
        <f>IF(③T11_ルーム情報!E147="","",③T11_ルーム情報!E147)</f>
        <v>33</v>
      </c>
      <c r="F147" s="1" t="str">
        <f>IF(③T11_ルーム情報!F147="","",③T11_ルーム情報!F147)</f>
        <v>2F②塾</v>
      </c>
    </row>
    <row r="148" spans="1:6" x14ac:dyDescent="0.4">
      <c r="A148" s="1" t="str">
        <f>IF(③T11_ルーム情報!A148="","",③T11_ルーム情報!A148)</f>
        <v/>
      </c>
      <c r="B148" s="1" t="str">
        <f>IF(③T11_ルーム情報!B148="","",③T11_ルーム情報!B148)</f>
        <v>S10162</v>
      </c>
      <c r="C148" s="1" t="str">
        <f>IF(③T11_ルーム情報!C148="","",③T11_ルーム情報!C148)</f>
        <v>巽が丘校</v>
      </c>
      <c r="D148" s="1" t="str">
        <f>IF(③T11_ルーム情報!D148="","",③T11_ルーム情報!D148)</f>
        <v>Room1</v>
      </c>
      <c r="E148" s="1">
        <f>IF(③T11_ルーム情報!E148="","",③T11_ルーム情報!E148)</f>
        <v>35</v>
      </c>
      <c r="F148" s="1" t="str">
        <f>IF(③T11_ルーム情報!F148="","",③T11_ルーム情報!F148)</f>
        <v>塾部屋</v>
      </c>
    </row>
    <row r="149" spans="1:6" x14ac:dyDescent="0.4">
      <c r="A149" s="1" t="str">
        <f>IF(③T11_ルーム情報!A149="","",③T11_ルーム情報!A149)</f>
        <v/>
      </c>
      <c r="B149" s="1" t="str">
        <f>IF(③T11_ルーム情報!B149="","",③T11_ルーム情報!B149)</f>
        <v>S10162</v>
      </c>
      <c r="C149" s="1" t="str">
        <f>IF(③T11_ルーム情報!C149="","",③T11_ルーム情報!C149)</f>
        <v>巽が丘校</v>
      </c>
      <c r="D149" s="1" t="str">
        <f>IF(③T11_ルーム情報!D149="","",③T11_ルーム情報!D149)</f>
        <v>Room2</v>
      </c>
      <c r="E149" s="1">
        <f>IF(③T11_ルーム情報!E149="","",③T11_ルーム情報!E149)</f>
        <v>24</v>
      </c>
      <c r="F149" s="1" t="str">
        <f>IF(③T11_ルーム情報!F149="","",③T11_ルーム情報!F149)</f>
        <v>塾部屋</v>
      </c>
    </row>
    <row r="150" spans="1:6" x14ac:dyDescent="0.4">
      <c r="A150" s="1" t="str">
        <f>IF(③T11_ルーム情報!A150="","",③T11_ルーム情報!A150)</f>
        <v/>
      </c>
      <c r="B150" s="1" t="str">
        <f>IF(③T11_ルーム情報!B150="","",③T11_ルーム情報!B150)</f>
        <v>S10162</v>
      </c>
      <c r="C150" s="1" t="str">
        <f>IF(③T11_ルーム情報!C150="","",③T11_ルーム情報!C150)</f>
        <v>巽が丘校</v>
      </c>
      <c r="D150" s="1" t="str">
        <f>IF(③T11_ルーム情報!D150="","",③T11_ルーム情報!D150)</f>
        <v>Room3</v>
      </c>
      <c r="E150" s="1">
        <f>IF(③T11_ルーム情報!E150="","",③T11_ルーム情報!E150)</f>
        <v>24</v>
      </c>
      <c r="F150" s="1" t="str">
        <f>IF(③T11_ルーム情報!F150="","",③T11_ルーム情報!F150)</f>
        <v>自習室</v>
      </c>
    </row>
    <row r="151" spans="1:6" x14ac:dyDescent="0.4">
      <c r="A151" s="1" t="str">
        <f>IF(③T11_ルーム情報!A151="","",③T11_ルーム情報!A151)</f>
        <v/>
      </c>
      <c r="B151" s="1" t="str">
        <f>IF(③T11_ルーム情報!B151="","",③T11_ルーム情報!B151)</f>
        <v>S10162</v>
      </c>
      <c r="C151" s="1" t="str">
        <f>IF(③T11_ルーム情報!C151="","",③T11_ルーム情報!C151)</f>
        <v>巽が丘校</v>
      </c>
      <c r="D151" s="1" t="str">
        <f>IF(③T11_ルーム情報!D151="","",③T11_ルーム情報!D151)</f>
        <v>Room4</v>
      </c>
      <c r="E151" s="1">
        <f>IF(③T11_ルーム情報!E151="","",③T11_ルーム情報!E151)</f>
        <v>20</v>
      </c>
      <c r="F151" s="1" t="str">
        <f>IF(③T11_ルーム情報!F151="","",③T11_ルーム情報!F151)</f>
        <v>塾部屋</v>
      </c>
    </row>
    <row r="152" spans="1:6" x14ac:dyDescent="0.4">
      <c r="A152" s="1" t="str">
        <f>IF(③T11_ルーム情報!A152="","",③T11_ルーム情報!A152)</f>
        <v/>
      </c>
      <c r="B152" s="1" t="str">
        <f>IF(③T11_ルーム情報!B152="","",③T11_ルーム情報!B152)</f>
        <v>S10162</v>
      </c>
      <c r="C152" s="1" t="str">
        <f>IF(③T11_ルーム情報!C152="","",③T11_ルーム情報!C152)</f>
        <v>巽が丘校</v>
      </c>
      <c r="D152" s="1" t="str">
        <f>IF(③T11_ルーム情報!D152="","",③T11_ルーム情報!D152)</f>
        <v>Room5</v>
      </c>
      <c r="E152" s="1">
        <f>IF(③T11_ルーム情報!E152="","",③T11_ルーム情報!E152)</f>
        <v>30</v>
      </c>
      <c r="F152" s="1" t="str">
        <f>IF(③T11_ルーム情報!F152="","",③T11_ルーム情報!F152)</f>
        <v>英会話・習字</v>
      </c>
    </row>
    <row r="153" spans="1:6" x14ac:dyDescent="0.4">
      <c r="A153" s="1" t="str">
        <f>IF(③T11_ルーム情報!A153="","",③T11_ルーム情報!A153)</f>
        <v/>
      </c>
      <c r="B153" s="1" t="str">
        <f>IF(③T11_ルーム情報!B153="","",③T11_ルーム情報!B153)</f>
        <v>S10163</v>
      </c>
      <c r="C153" s="1" t="str">
        <f>IF(③T11_ルーム情報!C153="","",③T11_ルーム情報!C153)</f>
        <v>知多西校</v>
      </c>
      <c r="D153" s="1" t="str">
        <f>IF(③T11_ルーム情報!D153="","",③T11_ルーム情報!D153)</f>
        <v>ROOM1</v>
      </c>
      <c r="E153" s="1">
        <f>IF(③T11_ルーム情報!E153="","",③T11_ルーム情報!E153)</f>
        <v>32</v>
      </c>
      <c r="F153" s="1" t="str">
        <f>IF(③T11_ルーム情報!F153="","",③T11_ルーム情報!F153)</f>
        <v>1F塾</v>
      </c>
    </row>
    <row r="154" spans="1:6" x14ac:dyDescent="0.4">
      <c r="A154" s="1" t="str">
        <f>IF(③T11_ルーム情報!A154="","",③T11_ルーム情報!A154)</f>
        <v/>
      </c>
      <c r="B154" s="1" t="str">
        <f>IF(③T11_ルーム情報!B154="","",③T11_ルーム情報!B154)</f>
        <v>S10163</v>
      </c>
      <c r="C154" s="1" t="str">
        <f>IF(③T11_ルーム情報!C154="","",③T11_ルーム情報!C154)</f>
        <v>知多西校</v>
      </c>
      <c r="D154" s="1" t="str">
        <f>IF(③T11_ルーム情報!D154="","",③T11_ルーム情報!D154)</f>
        <v>ROOM2</v>
      </c>
      <c r="E154" s="1">
        <f>IF(③T11_ルーム情報!E154="","",③T11_ルーム情報!E154)</f>
        <v>20</v>
      </c>
      <c r="F154" s="1" t="str">
        <f>IF(③T11_ルーム情報!F154="","",③T11_ルーム情報!F154)</f>
        <v>2F①塾</v>
      </c>
    </row>
    <row r="155" spans="1:6" x14ac:dyDescent="0.4">
      <c r="A155" s="1" t="str">
        <f>IF(③T11_ルーム情報!A155="","",③T11_ルーム情報!A155)</f>
        <v/>
      </c>
      <c r="B155" s="1" t="str">
        <f>IF(③T11_ルーム情報!B155="","",③T11_ルーム情報!B155)</f>
        <v>S10163</v>
      </c>
      <c r="C155" s="1" t="str">
        <f>IF(③T11_ルーム情報!C155="","",③T11_ルーム情報!C155)</f>
        <v>知多西校</v>
      </c>
      <c r="D155" s="1" t="str">
        <f>IF(③T11_ルーム情報!D155="","",③T11_ルーム情報!D155)</f>
        <v>ROOM3</v>
      </c>
      <c r="E155" s="1">
        <f>IF(③T11_ルーム情報!E155="","",③T11_ルーム情報!E155)</f>
        <v>33</v>
      </c>
      <c r="F155" s="1" t="str">
        <f>IF(③T11_ルーム情報!F155="","",③T11_ルーム情報!F155)</f>
        <v>2F②塾</v>
      </c>
    </row>
    <row r="156" spans="1:6" x14ac:dyDescent="0.4">
      <c r="A156" s="1" t="str">
        <f>IF(③T11_ルーム情報!A156="","",③T11_ルーム情報!A156)</f>
        <v/>
      </c>
      <c r="B156" s="1" t="str">
        <f>IF(③T11_ルーム情報!B156="","",③T11_ルーム情報!B156)</f>
        <v>S10165</v>
      </c>
      <c r="C156" s="1" t="str">
        <f>IF(③T11_ルーム情報!C156="","",③T11_ルーム情報!C156)</f>
        <v>新安城校</v>
      </c>
      <c r="D156" s="1" t="str">
        <f>IF(③T11_ルーム情報!D156="","",③T11_ルーム情報!D156)</f>
        <v>ROOM1</v>
      </c>
      <c r="E156" s="1">
        <f>IF(③T11_ルーム情報!E156="","",③T11_ルーム情報!E156)</f>
        <v>20</v>
      </c>
      <c r="F156" s="1" t="str">
        <f>IF(③T11_ルーム情報!F156="","",③T11_ルーム情報!F156)</f>
        <v>1Fアン塾</v>
      </c>
    </row>
    <row r="157" spans="1:6" x14ac:dyDescent="0.4">
      <c r="A157" s="1" t="str">
        <f>IF(③T11_ルーム情報!A157="","",③T11_ルーム情報!A157)</f>
        <v/>
      </c>
      <c r="B157" s="1" t="str">
        <f>IF(③T11_ルーム情報!B157="","",③T11_ルーム情報!B157)</f>
        <v>S10165</v>
      </c>
      <c r="C157" s="1" t="str">
        <f>IF(③T11_ルーム情報!C157="","",③T11_ルーム情報!C157)</f>
        <v>新安城校</v>
      </c>
      <c r="D157" s="1" t="str">
        <f>IF(③T11_ルーム情報!D157="","",③T11_ルーム情報!D157)</f>
        <v>ROOM2</v>
      </c>
      <c r="E157" s="1">
        <f>IF(③T11_ルーム情報!E157="","",③T11_ルーム情報!E157)</f>
        <v>30</v>
      </c>
      <c r="F157" s="1" t="str">
        <f>IF(③T11_ルーム情報!F157="","",③T11_ルーム情報!F157)</f>
        <v>2F①そろ筆塾</v>
      </c>
    </row>
    <row r="158" spans="1:6" x14ac:dyDescent="0.4">
      <c r="A158" s="1" t="str">
        <f>IF(③T11_ルーム情報!A158="","",③T11_ルーム情報!A158)</f>
        <v/>
      </c>
      <c r="B158" s="1" t="str">
        <f>IF(③T11_ルーム情報!B158="","",③T11_ルーム情報!B158)</f>
        <v>S10165</v>
      </c>
      <c r="C158" s="1" t="str">
        <f>IF(③T11_ルーム情報!C158="","",③T11_ルーム情報!C158)</f>
        <v>新安城校</v>
      </c>
      <c r="D158" s="1" t="str">
        <f>IF(③T11_ルーム情報!D158="","",③T11_ルーム情報!D158)</f>
        <v>ROOM3</v>
      </c>
      <c r="E158" s="1">
        <f>IF(③T11_ルーム情報!E158="","",③T11_ルーム情報!E158)</f>
        <v>20</v>
      </c>
      <c r="F158" s="1" t="str">
        <f>IF(③T11_ルーム情報!F158="","",③T11_ルーム情報!F158)</f>
        <v>2F②塾</v>
      </c>
    </row>
    <row r="159" spans="1:6" x14ac:dyDescent="0.4">
      <c r="A159" s="1" t="str">
        <f>IF(③T11_ルーム情報!A159="","",③T11_ルーム情報!A159)</f>
        <v/>
      </c>
      <c r="B159" s="1" t="str">
        <f>IF(③T11_ルーム情報!B159="","",③T11_ルーム情報!B159)</f>
        <v>S10166</v>
      </c>
      <c r="C159" s="1" t="str">
        <f>IF(③T11_ルーム情報!C159="","",③T11_ルーム情報!C159)</f>
        <v>名古屋駅前校</v>
      </c>
      <c r="D159" s="1" t="str">
        <f>IF(③T11_ルーム情報!D159="","",③T11_ルーム情報!D159)</f>
        <v>ROOM1</v>
      </c>
      <c r="E159" s="1">
        <f>IF(③T11_ルーム情報!E159="","",③T11_ルーム情報!E159)</f>
        <v>34</v>
      </c>
      <c r="F159" s="1" t="str">
        <f>IF(③T11_ルーム情報!F159="","",③T11_ルーム情報!F159)</f>
        <v>4FA</v>
      </c>
    </row>
    <row r="160" spans="1:6" x14ac:dyDescent="0.4">
      <c r="A160" s="1" t="str">
        <f>IF(③T11_ルーム情報!A160="","",③T11_ルーム情報!A160)</f>
        <v/>
      </c>
      <c r="B160" s="1" t="str">
        <f>IF(③T11_ルーム情報!B160="","",③T11_ルーム情報!B160)</f>
        <v>S10166</v>
      </c>
      <c r="C160" s="1" t="str">
        <f>IF(③T11_ルーム情報!C160="","",③T11_ルーム情報!C160)</f>
        <v>名古屋駅前校</v>
      </c>
      <c r="D160" s="1" t="str">
        <f>IF(③T11_ルーム情報!D160="","",③T11_ルーム情報!D160)</f>
        <v>ROOM2</v>
      </c>
      <c r="E160" s="1">
        <f>IF(③T11_ルーム情報!E160="","",③T11_ルーム情報!E160)</f>
        <v>11</v>
      </c>
      <c r="F160" s="1" t="str">
        <f>IF(③T11_ルーム情報!F160="","",③T11_ルーム情報!F160)</f>
        <v>4FB</v>
      </c>
    </row>
    <row r="161" spans="1:6" x14ac:dyDescent="0.4">
      <c r="A161" s="1" t="str">
        <f>IF(③T11_ルーム情報!A161="","",③T11_ルーム情報!A161)</f>
        <v/>
      </c>
      <c r="B161" s="1" t="str">
        <f>IF(③T11_ルーム情報!B161="","",③T11_ルーム情報!B161)</f>
        <v>S10166</v>
      </c>
      <c r="C161" s="1" t="str">
        <f>IF(③T11_ルーム情報!C161="","",③T11_ルーム情報!C161)</f>
        <v>名古屋駅前校</v>
      </c>
      <c r="D161" s="1" t="str">
        <f>IF(③T11_ルーム情報!D161="","",③T11_ルーム情報!D161)</f>
        <v>ROOM3</v>
      </c>
      <c r="E161" s="1">
        <f>IF(③T11_ルーム情報!E161="","",③T11_ルーム情報!E161)</f>
        <v>20</v>
      </c>
      <c r="F161" s="1" t="str">
        <f>IF(③T11_ルーム情報!F161="","",③T11_ルーム情報!F161)</f>
        <v>4FC</v>
      </c>
    </row>
    <row r="162" spans="1:6" x14ac:dyDescent="0.4">
      <c r="A162" s="1" t="str">
        <f>IF(③T11_ルーム情報!A162="","",③T11_ルーム情報!A162)</f>
        <v/>
      </c>
      <c r="B162" s="1" t="str">
        <f>IF(③T11_ルーム情報!B162="","",③T11_ルーム情報!B162)</f>
        <v>S10166</v>
      </c>
      <c r="C162" s="1" t="str">
        <f>IF(③T11_ルーム情報!C162="","",③T11_ルーム情報!C162)</f>
        <v>名古屋駅前校</v>
      </c>
      <c r="D162" s="1" t="str">
        <f>IF(③T11_ルーム情報!D162="","",③T11_ルーム情報!D162)</f>
        <v>ROOM4</v>
      </c>
      <c r="E162" s="1">
        <f>IF(③T11_ルーム情報!E162="","",③T11_ルーム情報!E162)</f>
        <v>18</v>
      </c>
      <c r="F162" s="1" t="str">
        <f>IF(③T11_ルーム情報!F162="","",③T11_ルーム情報!F162)</f>
        <v>5FD</v>
      </c>
    </row>
    <row r="163" spans="1:6" x14ac:dyDescent="0.4">
      <c r="A163" s="1" t="str">
        <f>IF(③T11_ルーム情報!A163="","",③T11_ルーム情報!A163)</f>
        <v/>
      </c>
      <c r="B163" s="1" t="str">
        <f>IF(③T11_ルーム情報!B163="","",③T11_ルーム情報!B163)</f>
        <v>S10166</v>
      </c>
      <c r="C163" s="1" t="str">
        <f>IF(③T11_ルーム情報!C163="","",③T11_ルーム情報!C163)</f>
        <v>名古屋駅前校</v>
      </c>
      <c r="D163" s="1" t="str">
        <f>IF(③T11_ルーム情報!D163="","",③T11_ルーム情報!D163)</f>
        <v>ROOM5</v>
      </c>
      <c r="E163" s="1">
        <f>IF(③T11_ルーム情報!E163="","",③T11_ルーム情報!E163)</f>
        <v>14</v>
      </c>
      <c r="F163" s="1" t="str">
        <f>IF(③T11_ルーム情報!F163="","",③T11_ルーム情報!F163)</f>
        <v>5FE</v>
      </c>
    </row>
    <row r="164" spans="1:6" x14ac:dyDescent="0.4">
      <c r="A164" s="1" t="str">
        <f>IF(③T11_ルーム情報!A164="","",③T11_ルーム情報!A164)</f>
        <v/>
      </c>
      <c r="B164" s="1" t="str">
        <f>IF(③T11_ルーム情報!B164="","",③T11_ルーム情報!B164)</f>
        <v>S10166</v>
      </c>
      <c r="C164" s="1" t="str">
        <f>IF(③T11_ルーム情報!C164="","",③T11_ルーム情報!C164)</f>
        <v>名古屋駅前校</v>
      </c>
      <c r="D164" s="1" t="str">
        <f>IF(③T11_ルーム情報!D164="","",③T11_ルーム情報!D164)</f>
        <v>ROOM6</v>
      </c>
      <c r="E164" s="1">
        <f>IF(③T11_ルーム情報!E164="","",③T11_ルーム情報!E164)</f>
        <v>18</v>
      </c>
      <c r="F164" s="1" t="str">
        <f>IF(③T11_ルーム情報!F164="","",③T11_ルーム情報!F164)</f>
        <v>1F多目的室</v>
      </c>
    </row>
    <row r="165" spans="1:6" x14ac:dyDescent="0.4">
      <c r="A165" s="1" t="str">
        <f>IF(③T11_ルーム情報!A165="","",③T11_ルーム情報!A165)</f>
        <v/>
      </c>
      <c r="B165" s="1" t="str">
        <f>IF(③T11_ルーム情報!B165="","",③T11_ルーム情報!B165)</f>
        <v>S10167</v>
      </c>
      <c r="C165" s="1" t="str">
        <f>IF(③T11_ルーム情報!C165="","",③T11_ルーム情報!C165)</f>
        <v>長良高校前校</v>
      </c>
      <c r="D165" s="1" t="str">
        <f>IF(③T11_ルーム情報!D165="","",③T11_ルーム情報!D165)</f>
        <v>ROOM1</v>
      </c>
      <c r="E165" s="1">
        <f>IF(③T11_ルーム情報!E165="","",③T11_ルーム情報!E165)</f>
        <v>59</v>
      </c>
      <c r="F165" s="1" t="str">
        <f>IF(③T11_ルーム情報!F165="","",③T11_ルーム情報!F165)</f>
        <v>3F大</v>
      </c>
    </row>
    <row r="166" spans="1:6" x14ac:dyDescent="0.4">
      <c r="A166" s="1" t="str">
        <f>IF(③T11_ルーム情報!A166="","",③T11_ルーム情報!A166)</f>
        <v/>
      </c>
      <c r="B166" s="1" t="str">
        <f>IF(③T11_ルーム情報!B166="","",③T11_ルーム情報!B166)</f>
        <v>S10167</v>
      </c>
      <c r="C166" s="1" t="str">
        <f>IF(③T11_ルーム情報!C166="","",③T11_ルーム情報!C166)</f>
        <v>長良高校前校</v>
      </c>
      <c r="D166" s="1" t="str">
        <f>IF(③T11_ルーム情報!D166="","",③T11_ルーム情報!D166)</f>
        <v>ROOM2</v>
      </c>
      <c r="E166" s="1">
        <f>IF(③T11_ルーム情報!E166="","",③T11_ルーム情報!E166)</f>
        <v>40</v>
      </c>
      <c r="F166" s="1" t="str">
        <f>IF(③T11_ルーム情報!F166="","",③T11_ルーム情報!F166)</f>
        <v>3F中</v>
      </c>
    </row>
    <row r="167" spans="1:6" x14ac:dyDescent="0.4">
      <c r="A167" s="1" t="str">
        <f>IF(③T11_ルーム情報!A167="","",③T11_ルーム情報!A167)</f>
        <v/>
      </c>
      <c r="B167" s="1" t="str">
        <f>IF(③T11_ルーム情報!B167="","",③T11_ルーム情報!B167)</f>
        <v>S10167</v>
      </c>
      <c r="C167" s="1" t="str">
        <f>IF(③T11_ルーム情報!C167="","",③T11_ルーム情報!C167)</f>
        <v>長良高校前校</v>
      </c>
      <c r="D167" s="1" t="str">
        <f>IF(③T11_ルーム情報!D167="","",③T11_ルーム情報!D167)</f>
        <v>ROOM3</v>
      </c>
      <c r="E167" s="1">
        <f>IF(③T11_ルーム情報!E167="","",③T11_ルーム情報!E167)</f>
        <v>15</v>
      </c>
      <c r="F167" s="1" t="str">
        <f>IF(③T11_ルーム情報!F167="","",③T11_ルーム情報!F167)</f>
        <v>3F小</v>
      </c>
    </row>
    <row r="168" spans="1:6" x14ac:dyDescent="0.4">
      <c r="A168" s="1" t="str">
        <f>IF(③T11_ルーム情報!A168="","",③T11_ルーム情報!A168)</f>
        <v/>
      </c>
      <c r="B168" s="1" t="str">
        <f>IF(③T11_ルーム情報!B168="","",③T11_ルーム情報!B168)</f>
        <v>S10160</v>
      </c>
      <c r="C168" s="1" t="str">
        <f>IF(③T11_ルーム情報!C168="","",③T11_ルーム情報!C168)</f>
        <v>大府月見校</v>
      </c>
      <c r="D168" s="1" t="str">
        <f>IF(③T11_ルーム情報!D168="","",③T11_ルーム情報!D168)</f>
        <v>Room1</v>
      </c>
      <c r="E168" s="1">
        <f>IF(③T11_ルーム情報!E168="","",③T11_ルーム情報!E168)</f>
        <v>21</v>
      </c>
      <c r="F168" s="1" t="str">
        <f>IF(③T11_ルーム情報!F168="","",③T11_ルーム情報!F168)</f>
        <v>塾部屋1</v>
      </c>
    </row>
    <row r="169" spans="1:6" x14ac:dyDescent="0.4">
      <c r="A169" s="1" t="str">
        <f>IF(③T11_ルーム情報!A169="","",③T11_ルーム情報!A169)</f>
        <v/>
      </c>
      <c r="B169" s="1" t="str">
        <f>IF(③T11_ルーム情報!B169="","",③T11_ルーム情報!B169)</f>
        <v>S10160</v>
      </c>
      <c r="C169" s="1" t="str">
        <f>IF(③T11_ルーム情報!C169="","",③T11_ルーム情報!C169)</f>
        <v>大府月見校</v>
      </c>
      <c r="D169" s="1" t="str">
        <f>IF(③T11_ルーム情報!D169="","",③T11_ルーム情報!D169)</f>
        <v>Room2</v>
      </c>
      <c r="E169" s="1">
        <f>IF(③T11_ルーム情報!E169="","",③T11_ルーム情報!E169)</f>
        <v>25</v>
      </c>
      <c r="F169" s="1" t="str">
        <f>IF(③T11_ルーム情報!F169="","",③T11_ルーム情報!F169)</f>
        <v>塾部屋2</v>
      </c>
    </row>
    <row r="170" spans="1:6" x14ac:dyDescent="0.4">
      <c r="A170" s="1" t="str">
        <f>IF(③T11_ルーム情報!A170="","",③T11_ルーム情報!A170)</f>
        <v/>
      </c>
      <c r="B170" s="1" t="str">
        <f>IF(③T11_ルーム情報!B170="","",③T11_ルーム情報!B170)</f>
        <v>S10160</v>
      </c>
      <c r="C170" s="1" t="str">
        <f>IF(③T11_ルーム情報!C170="","",③T11_ルーム情報!C170)</f>
        <v>大府月見校</v>
      </c>
      <c r="D170" s="1" t="str">
        <f>IF(③T11_ルーム情報!D170="","",③T11_ルーム情報!D170)</f>
        <v>Room3</v>
      </c>
      <c r="E170" s="1">
        <f>IF(③T11_ルーム情報!E170="","",③T11_ルーム情報!E170)</f>
        <v>25</v>
      </c>
      <c r="F170" s="1" t="str">
        <f>IF(③T11_ルーム情報!F170="","",③T11_ルーム情報!F170)</f>
        <v>塾部屋3</v>
      </c>
    </row>
    <row r="171" spans="1:6" x14ac:dyDescent="0.4">
      <c r="A171" s="1" t="str">
        <f>IF(③T11_ルーム情報!A171="","",③T11_ルーム情報!A171)</f>
        <v/>
      </c>
      <c r="B171" s="1" t="str">
        <f>IF(③T11_ルーム情報!B171="","",③T11_ルーム情報!B171)</f>
        <v>S10175</v>
      </c>
      <c r="C171" s="1" t="str">
        <f>IF(③T11_ルーム情報!C171="","",③T11_ルーム情報!C171)</f>
        <v>岐阜駅南口校</v>
      </c>
      <c r="D171" s="1" t="str">
        <f>IF(③T11_ルーム情報!D171="","",③T11_ルーム情報!D171)</f>
        <v>Room1</v>
      </c>
      <c r="E171" s="1">
        <f>IF(③T11_ルーム情報!E171="","",③T11_ルーム情報!E171)</f>
        <v>7</v>
      </c>
      <c r="F171" s="1" t="str">
        <f>IF(③T11_ルーム情報!F171="","",③T11_ルーム情報!F171)</f>
        <v>1F</v>
      </c>
    </row>
    <row r="172" spans="1:6" x14ac:dyDescent="0.4">
      <c r="A172" s="1" t="str">
        <f>IF(③T11_ルーム情報!A172="","",③T11_ルーム情報!A172)</f>
        <v/>
      </c>
      <c r="B172" s="1" t="str">
        <f>IF(③T11_ルーム情報!B172="","",③T11_ルーム情報!B172)</f>
        <v>S10175</v>
      </c>
      <c r="C172" s="1" t="str">
        <f>IF(③T11_ルーム情報!C172="","",③T11_ルーム情報!C172)</f>
        <v>岐阜駅南口校</v>
      </c>
      <c r="D172" s="1" t="str">
        <f>IF(③T11_ルーム情報!D172="","",③T11_ルーム情報!D172)</f>
        <v>Room2</v>
      </c>
      <c r="E172" s="1">
        <f>IF(③T11_ルーム情報!E172="","",③T11_ルーム情報!E172)</f>
        <v>2</v>
      </c>
      <c r="F172" s="1" t="str">
        <f>IF(③T11_ルーム情報!F172="","",③T11_ルーム情報!F172)</f>
        <v>2F①</v>
      </c>
    </row>
    <row r="173" spans="1:6" x14ac:dyDescent="0.4">
      <c r="A173" s="1" t="str">
        <f>IF(③T11_ルーム情報!A173="","",③T11_ルーム情報!A173)</f>
        <v/>
      </c>
      <c r="B173" s="1" t="str">
        <f>IF(③T11_ルーム情報!B173="","",③T11_ルーム情報!B173)</f>
        <v>S10175</v>
      </c>
      <c r="C173" s="1" t="str">
        <f>IF(③T11_ルーム情報!C173="","",③T11_ルーム情報!C173)</f>
        <v>岐阜駅南口校</v>
      </c>
      <c r="D173" s="1" t="str">
        <f>IF(③T11_ルーム情報!D173="","",③T11_ルーム情報!D173)</f>
        <v>Room3</v>
      </c>
      <c r="E173" s="1">
        <f>IF(③T11_ルーム情報!E173="","",③T11_ルーム情報!E173)</f>
        <v>2</v>
      </c>
      <c r="F173" s="1" t="str">
        <f>IF(③T11_ルーム情報!F173="","",③T11_ルーム情報!F173)</f>
        <v>2F②</v>
      </c>
    </row>
    <row r="174" spans="1:6" x14ac:dyDescent="0.4">
      <c r="A174" s="1" t="str">
        <f>IF(③T11_ルーム情報!A174="","",③T11_ルーム情報!A174)</f>
        <v/>
      </c>
      <c r="B174" s="1" t="str">
        <f>IF(③T11_ルーム情報!B174="","",③T11_ルーム情報!B174)</f>
        <v>S10175</v>
      </c>
      <c r="C174" s="1" t="str">
        <f>IF(③T11_ルーム情報!C174="","",③T11_ルーム情報!C174)</f>
        <v>岐阜駅南口校</v>
      </c>
      <c r="D174" s="1" t="str">
        <f>IF(③T11_ルーム情報!D174="","",③T11_ルーム情報!D174)</f>
        <v>Room4</v>
      </c>
      <c r="E174" s="1">
        <f>IF(③T11_ルーム情報!E174="","",③T11_ルーム情報!E174)</f>
        <v>2</v>
      </c>
      <c r="F174" s="1" t="str">
        <f>IF(③T11_ルーム情報!F174="","",③T11_ルーム情報!F174)</f>
        <v>2F③</v>
      </c>
    </row>
    <row r="175" spans="1:6" x14ac:dyDescent="0.4">
      <c r="A175" s="1" t="str">
        <f>IF(③T11_ルーム情報!A175="","",③T11_ルーム情報!A175)</f>
        <v/>
      </c>
      <c r="B175" s="1" t="str">
        <f>IF(③T11_ルーム情報!B175="","",③T11_ルーム情報!B175)</f>
        <v>S10175</v>
      </c>
      <c r="C175" s="1" t="str">
        <f>IF(③T11_ルーム情報!C175="","",③T11_ルーム情報!C175)</f>
        <v>岐阜駅南口校</v>
      </c>
      <c r="D175" s="1" t="str">
        <f>IF(③T11_ルーム情報!D175="","",③T11_ルーム情報!D175)</f>
        <v>Room5</v>
      </c>
      <c r="E175" s="1">
        <f>IF(③T11_ルーム情報!E175="","",③T11_ルーム情報!E175)</f>
        <v>24</v>
      </c>
      <c r="F175" s="1" t="str">
        <f>IF(③T11_ルーム情報!F175="","",③T11_ルーム情報!F175)</f>
        <v>2Fオープン</v>
      </c>
    </row>
    <row r="176" spans="1:6" x14ac:dyDescent="0.4">
      <c r="A176" s="1" t="str">
        <f>IF(③T11_ルーム情報!A176="","",③T11_ルーム情報!A176)</f>
        <v/>
      </c>
      <c r="B176" s="1" t="str">
        <f>IF(③T11_ルーム情報!B176="","",③T11_ルーム情報!B176)</f>
        <v>S10175</v>
      </c>
      <c r="C176" s="1" t="str">
        <f>IF(③T11_ルーム情報!C176="","",③T11_ルーム情報!C176)</f>
        <v>岐阜駅南口校</v>
      </c>
      <c r="D176" s="1" t="str">
        <f>IF(③T11_ルーム情報!D176="","",③T11_ルーム情報!D176)</f>
        <v>Room6</v>
      </c>
      <c r="E176" s="1">
        <f>IF(③T11_ルーム情報!E176="","",③T11_ルーム情報!E176)</f>
        <v>8</v>
      </c>
      <c r="F176" s="1" t="str">
        <f>IF(③T11_ルーム情報!F176="","",③T11_ルーム情報!F176)</f>
        <v>3F</v>
      </c>
    </row>
    <row r="177" spans="1:6" x14ac:dyDescent="0.4">
      <c r="A177" s="1" t="str">
        <f>IF(③T11_ルーム情報!A177="","",③T11_ルーム情報!A177)</f>
        <v/>
      </c>
      <c r="B177" s="1" t="str">
        <f>IF(③T11_ルーム情報!B177="","",③T11_ルーム情報!B177)</f>
        <v>S10175</v>
      </c>
      <c r="C177" s="1" t="str">
        <f>IF(③T11_ルーム情報!C177="","",③T11_ルーム情報!C177)</f>
        <v>岐阜駅南口校</v>
      </c>
      <c r="D177" s="1" t="str">
        <f>IF(③T11_ルーム情報!D177="","",③T11_ルーム情報!D177)</f>
        <v>Room7</v>
      </c>
      <c r="E177" s="1">
        <f>IF(③T11_ルーム情報!E177="","",③T11_ルーム情報!E177)</f>
        <v>20</v>
      </c>
      <c r="F177" s="1" t="str">
        <f>IF(③T11_ルーム情報!F177="","",③T11_ルーム情報!F177)</f>
        <v>4F-1</v>
      </c>
    </row>
    <row r="178" spans="1:6" x14ac:dyDescent="0.4">
      <c r="A178" s="1" t="str">
        <f>IF(③T11_ルーム情報!A178="","",③T11_ルーム情報!A178)</f>
        <v/>
      </c>
      <c r="B178" s="1" t="str">
        <f>IF(③T11_ルーム情報!B178="","",③T11_ルーム情報!B178)</f>
        <v>S10175</v>
      </c>
      <c r="C178" s="1" t="str">
        <f>IF(③T11_ルーム情報!C178="","",③T11_ルーム情報!C178)</f>
        <v>岐阜駅南口校</v>
      </c>
      <c r="D178" s="1" t="str">
        <f>IF(③T11_ルーム情報!D178="","",③T11_ルーム情報!D178)</f>
        <v>Room8</v>
      </c>
      <c r="E178" s="1">
        <f>IF(③T11_ルーム情報!E178="","",③T11_ルーム情報!E178)</f>
        <v>15</v>
      </c>
      <c r="F178" s="1" t="str">
        <f>IF(③T11_ルーム情報!F178="","",③T11_ルーム情報!F178)</f>
        <v>4F-2</v>
      </c>
    </row>
    <row r="179" spans="1:6" x14ac:dyDescent="0.4">
      <c r="A179" s="1" t="str">
        <f>IF(③T11_ルーム情報!A179="","",③T11_ルーム情報!A179)</f>
        <v/>
      </c>
      <c r="B179" s="1" t="str">
        <f>IF(③T11_ルーム情報!B179="","",③T11_ルーム情報!B179)</f>
        <v>S10175</v>
      </c>
      <c r="C179" s="1" t="str">
        <f>IF(③T11_ルーム情報!C179="","",③T11_ルーム情報!C179)</f>
        <v>岐阜駅南口校</v>
      </c>
      <c r="D179" s="1" t="str">
        <f>IF(③T11_ルーム情報!D179="","",③T11_ルーム情報!D179)</f>
        <v>Room9</v>
      </c>
      <c r="E179" s="1">
        <f>IF(③T11_ルーム情報!E179="","",③T11_ルーム情報!E179)</f>
        <v>18</v>
      </c>
      <c r="F179" s="1" t="str">
        <f>IF(③T11_ルーム情報!F179="","",③T11_ルーム情報!F179)</f>
        <v>5F-1</v>
      </c>
    </row>
    <row r="180" spans="1:6" x14ac:dyDescent="0.4">
      <c r="A180" s="1" t="str">
        <f>IF(③T11_ルーム情報!A180="","",③T11_ルーム情報!A180)</f>
        <v/>
      </c>
      <c r="B180" s="1" t="str">
        <f>IF(③T11_ルーム情報!B180="","",③T11_ルーム情報!B180)</f>
        <v>S10175</v>
      </c>
      <c r="C180" s="1" t="str">
        <f>IF(③T11_ルーム情報!C180="","",③T11_ルーム情報!C180)</f>
        <v>岐阜駅南口校</v>
      </c>
      <c r="D180" s="1" t="str">
        <f>IF(③T11_ルーム情報!D180="","",③T11_ルーム情報!D180)</f>
        <v>Room10</v>
      </c>
      <c r="E180" s="1">
        <f>IF(③T11_ルーム情報!E180="","",③T11_ルーム情報!E180)</f>
        <v>35</v>
      </c>
      <c r="F180" s="1" t="str">
        <f>IF(③T11_ルーム情報!F180="","",③T11_ルーム情報!F180)</f>
        <v>5F-2</v>
      </c>
    </row>
    <row r="181" spans="1:6" x14ac:dyDescent="0.4">
      <c r="A181" s="1" t="str">
        <f>IF(③T11_ルーム情報!A181="","",③T11_ルーム情報!A181)</f>
        <v/>
      </c>
      <c r="B181" s="1" t="str">
        <f>IF(③T11_ルーム情報!B181="","",③T11_ルーム情報!B181)</f>
        <v>S10175</v>
      </c>
      <c r="C181" s="1" t="str">
        <f>IF(③T11_ルーム情報!C181="","",③T11_ルーム情報!C181)</f>
        <v>岐阜駅南口校</v>
      </c>
      <c r="D181" s="1" t="str">
        <f>IF(③T11_ルーム情報!D181="","",③T11_ルーム情報!D181)</f>
        <v>Room11</v>
      </c>
      <c r="E181" s="1">
        <f>IF(③T11_ルーム情報!E181="","",③T11_ルーム情報!E181)</f>
        <v>10</v>
      </c>
      <c r="F181" s="1" t="str">
        <f>IF(③T11_ルーム情報!F181="","",③T11_ルーム情報!F181)</f>
        <v>5F-4</v>
      </c>
    </row>
    <row r="182" spans="1:6" x14ac:dyDescent="0.4">
      <c r="A182" s="1" t="str">
        <f>IF(③T11_ルーム情報!A182="","",③T11_ルーム情報!A182)</f>
        <v/>
      </c>
      <c r="B182" s="1" t="str">
        <f>IF(③T11_ルーム情報!B182="","",③T11_ルーム情報!B182)</f>
        <v>S10175</v>
      </c>
      <c r="C182" s="1" t="str">
        <f>IF(③T11_ルーム情報!C182="","",③T11_ルーム情報!C182)</f>
        <v>岐阜駅南口校</v>
      </c>
      <c r="D182" s="1" t="str">
        <f>IF(③T11_ルーム情報!D182="","",③T11_ルーム情報!D182)</f>
        <v>Room12</v>
      </c>
      <c r="E182" s="1">
        <f>IF(③T11_ルーム情報!E182="","",③T11_ルーム情報!E182)</f>
        <v>31</v>
      </c>
      <c r="F182" s="1" t="str">
        <f>IF(③T11_ルーム情報!F182="","",③T11_ルーム情報!F182)</f>
        <v>6F-1</v>
      </c>
    </row>
    <row r="183" spans="1:6" x14ac:dyDescent="0.4">
      <c r="A183" s="1" t="str">
        <f>IF(③T11_ルーム情報!A183="","",③T11_ルーム情報!A183)</f>
        <v/>
      </c>
      <c r="B183" s="1" t="str">
        <f>IF(③T11_ルーム情報!B183="","",③T11_ルーム情報!B183)</f>
        <v>S10175</v>
      </c>
      <c r="C183" s="1" t="str">
        <f>IF(③T11_ルーム情報!C183="","",③T11_ルーム情報!C183)</f>
        <v>岐阜駅南口校</v>
      </c>
      <c r="D183" s="1" t="str">
        <f>IF(③T11_ルーム情報!D183="","",③T11_ルーム情報!D183)</f>
        <v>Room13</v>
      </c>
      <c r="E183" s="1">
        <f>IF(③T11_ルーム情報!E183="","",③T11_ルーム情報!E183)</f>
        <v>8</v>
      </c>
      <c r="F183" s="1" t="str">
        <f>IF(③T11_ルーム情報!F183="","",③T11_ルーム情報!F183)</f>
        <v>6F-2</v>
      </c>
    </row>
    <row r="184" spans="1:6" x14ac:dyDescent="0.4">
      <c r="A184" s="1" t="str">
        <f>IF(③T11_ルーム情報!A184="","",③T11_ルーム情報!A184)</f>
        <v/>
      </c>
      <c r="B184" s="1" t="str">
        <f>IF(③T11_ルーム情報!B184="","",③T11_ルーム情報!B184)</f>
        <v>S10172</v>
      </c>
      <c r="C184" s="1" t="str">
        <f>IF(③T11_ルーム情報!C184="","",③T11_ルーム情報!C184)</f>
        <v>光の泉本校</v>
      </c>
      <c r="D184" s="1" t="str">
        <f>IF(③T11_ルーム情報!D184="","",③T11_ルーム情報!D184)</f>
        <v>Room1</v>
      </c>
      <c r="E184" s="1">
        <f>IF(③T11_ルーム情報!E184="","",③T11_ルーム情報!E184)</f>
        <v>7</v>
      </c>
      <c r="F184" s="1" t="str">
        <f>IF(③T11_ルーム情報!F184="","",③T11_ルーム情報!F184)</f>
        <v>1F</v>
      </c>
    </row>
    <row r="185" spans="1:6" x14ac:dyDescent="0.4">
      <c r="A185" s="1" t="str">
        <f>IF(③T11_ルーム情報!A185="","",③T11_ルーム情報!A185)</f>
        <v/>
      </c>
      <c r="B185" s="1" t="str">
        <f>IF(③T11_ルーム情報!B185="","",③T11_ルーム情報!B185)</f>
        <v>S10172</v>
      </c>
      <c r="C185" s="1" t="str">
        <f>IF(③T11_ルーム情報!C185="","",③T11_ルーム情報!C185)</f>
        <v>光の泉本校</v>
      </c>
      <c r="D185" s="1" t="str">
        <f>IF(③T11_ルーム情報!D185="","",③T11_ルーム情報!D185)</f>
        <v>Room2</v>
      </c>
      <c r="E185" s="1">
        <f>IF(③T11_ルーム情報!E185="","",③T11_ルーム情報!E185)</f>
        <v>2</v>
      </c>
      <c r="F185" s="1" t="str">
        <f>IF(③T11_ルーム情報!F185="","",③T11_ルーム情報!F185)</f>
        <v>2F①</v>
      </c>
    </row>
    <row r="186" spans="1:6" x14ac:dyDescent="0.4">
      <c r="A186" s="1" t="str">
        <f>IF(③T11_ルーム情報!A186="","",③T11_ルーム情報!A186)</f>
        <v/>
      </c>
      <c r="B186" s="1" t="str">
        <f>IF(③T11_ルーム情報!B186="","",③T11_ルーム情報!B186)</f>
        <v>S10172</v>
      </c>
      <c r="C186" s="1" t="str">
        <f>IF(③T11_ルーム情報!C186="","",③T11_ルーム情報!C186)</f>
        <v>光の泉本校</v>
      </c>
      <c r="D186" s="1" t="str">
        <f>IF(③T11_ルーム情報!D186="","",③T11_ルーム情報!D186)</f>
        <v>Room3</v>
      </c>
      <c r="E186" s="1">
        <f>IF(③T11_ルーム情報!E186="","",③T11_ルーム情報!E186)</f>
        <v>2</v>
      </c>
      <c r="F186" s="1" t="str">
        <f>IF(③T11_ルーム情報!F186="","",③T11_ルーム情報!F186)</f>
        <v>2F②</v>
      </c>
    </row>
    <row r="187" spans="1:6" x14ac:dyDescent="0.4">
      <c r="A187" s="1" t="str">
        <f>IF(③T11_ルーム情報!A187="","",③T11_ルーム情報!A187)</f>
        <v/>
      </c>
      <c r="B187" s="1" t="str">
        <f>IF(③T11_ルーム情報!B187="","",③T11_ルーム情報!B187)</f>
        <v>S10172</v>
      </c>
      <c r="C187" s="1" t="str">
        <f>IF(③T11_ルーム情報!C187="","",③T11_ルーム情報!C187)</f>
        <v>光の泉本校</v>
      </c>
      <c r="D187" s="1" t="str">
        <f>IF(③T11_ルーム情報!D187="","",③T11_ルーム情報!D187)</f>
        <v>Room4</v>
      </c>
      <c r="E187" s="1">
        <f>IF(③T11_ルーム情報!E187="","",③T11_ルーム情報!E187)</f>
        <v>2</v>
      </c>
      <c r="F187" s="1" t="str">
        <f>IF(③T11_ルーム情報!F187="","",③T11_ルーム情報!F187)</f>
        <v>2F③</v>
      </c>
    </row>
    <row r="188" spans="1:6" x14ac:dyDescent="0.4">
      <c r="A188" s="1" t="str">
        <f>IF(③T11_ルーム情報!A188="","",③T11_ルーム情報!A188)</f>
        <v/>
      </c>
      <c r="B188" s="1" t="str">
        <f>IF(③T11_ルーム情報!B188="","",③T11_ルーム情報!B188)</f>
        <v>S10172</v>
      </c>
      <c r="C188" s="1" t="str">
        <f>IF(③T11_ルーム情報!C188="","",③T11_ルーム情報!C188)</f>
        <v>光の泉本校</v>
      </c>
      <c r="D188" s="1" t="str">
        <f>IF(③T11_ルーム情報!D188="","",③T11_ルーム情報!D188)</f>
        <v>Room5</v>
      </c>
      <c r="E188" s="1">
        <f>IF(③T11_ルーム情報!E188="","",③T11_ルーム情報!E188)</f>
        <v>24</v>
      </c>
      <c r="F188" s="1" t="str">
        <f>IF(③T11_ルーム情報!F188="","",③T11_ルーム情報!F188)</f>
        <v>2Fオープン</v>
      </c>
    </row>
    <row r="189" spans="1:6" x14ac:dyDescent="0.4">
      <c r="A189" s="1" t="str">
        <f>IF(③T11_ルーム情報!A189="","",③T11_ルーム情報!A189)</f>
        <v/>
      </c>
      <c r="B189" s="1" t="str">
        <f>IF(③T11_ルーム情報!B189="","",③T11_ルーム情報!B189)</f>
        <v>S10172</v>
      </c>
      <c r="C189" s="1" t="str">
        <f>IF(③T11_ルーム情報!C189="","",③T11_ルーム情報!C189)</f>
        <v>光の泉本校</v>
      </c>
      <c r="D189" s="1" t="str">
        <f>IF(③T11_ルーム情報!D189="","",③T11_ルーム情報!D189)</f>
        <v>Room6</v>
      </c>
      <c r="E189" s="1">
        <f>IF(③T11_ルーム情報!E189="","",③T11_ルーム情報!E189)</f>
        <v>8</v>
      </c>
      <c r="F189" s="1" t="str">
        <f>IF(③T11_ルーム情報!F189="","",③T11_ルーム情報!F189)</f>
        <v>3F</v>
      </c>
    </row>
    <row r="190" spans="1:6" x14ac:dyDescent="0.4">
      <c r="A190" s="1" t="str">
        <f>IF(③T11_ルーム情報!A190="","",③T11_ルーム情報!A190)</f>
        <v/>
      </c>
      <c r="B190" s="1" t="str">
        <f>IF(③T11_ルーム情報!B190="","",③T11_ルーム情報!B190)</f>
        <v>S10172</v>
      </c>
      <c r="C190" s="1" t="str">
        <f>IF(③T11_ルーム情報!C190="","",③T11_ルーム情報!C190)</f>
        <v>光の泉本校</v>
      </c>
      <c r="D190" s="1" t="str">
        <f>IF(③T11_ルーム情報!D190="","",③T11_ルーム情報!D190)</f>
        <v>Room7</v>
      </c>
      <c r="E190" s="1">
        <f>IF(③T11_ルーム情報!E190="","",③T11_ルーム情報!E190)</f>
        <v>20</v>
      </c>
      <c r="F190" s="1" t="str">
        <f>IF(③T11_ルーム情報!F190="","",③T11_ルーム情報!F190)</f>
        <v>4F-1</v>
      </c>
    </row>
    <row r="191" spans="1:6" x14ac:dyDescent="0.4">
      <c r="A191" s="1" t="str">
        <f>IF(③T11_ルーム情報!A191="","",③T11_ルーム情報!A191)</f>
        <v/>
      </c>
      <c r="B191" s="1" t="str">
        <f>IF(③T11_ルーム情報!B191="","",③T11_ルーム情報!B191)</f>
        <v>S10172</v>
      </c>
      <c r="C191" s="1" t="str">
        <f>IF(③T11_ルーム情報!C191="","",③T11_ルーム情報!C191)</f>
        <v>光の泉本校</v>
      </c>
      <c r="D191" s="1" t="str">
        <f>IF(③T11_ルーム情報!D191="","",③T11_ルーム情報!D191)</f>
        <v>Room8</v>
      </c>
      <c r="E191" s="1">
        <f>IF(③T11_ルーム情報!E191="","",③T11_ルーム情報!E191)</f>
        <v>15</v>
      </c>
      <c r="F191" s="1" t="str">
        <f>IF(③T11_ルーム情報!F191="","",③T11_ルーム情報!F191)</f>
        <v>4F-2</v>
      </c>
    </row>
    <row r="192" spans="1:6" x14ac:dyDescent="0.4">
      <c r="A192" s="1" t="str">
        <f>IF(③T11_ルーム情報!A192="","",③T11_ルーム情報!A192)</f>
        <v/>
      </c>
      <c r="B192" s="1" t="str">
        <f>IF(③T11_ルーム情報!B192="","",③T11_ルーム情報!B192)</f>
        <v>S10172</v>
      </c>
      <c r="C192" s="1" t="str">
        <f>IF(③T11_ルーム情報!C192="","",③T11_ルーム情報!C192)</f>
        <v>光の泉本校</v>
      </c>
      <c r="D192" s="1" t="str">
        <f>IF(③T11_ルーム情報!D192="","",③T11_ルーム情報!D192)</f>
        <v>Room9</v>
      </c>
      <c r="E192" s="1">
        <f>IF(③T11_ルーム情報!E192="","",③T11_ルーム情報!E192)</f>
        <v>18</v>
      </c>
      <c r="F192" s="1" t="str">
        <f>IF(③T11_ルーム情報!F192="","",③T11_ルーム情報!F192)</f>
        <v>5F-1</v>
      </c>
    </row>
    <row r="193" spans="1:6" x14ac:dyDescent="0.4">
      <c r="A193" s="1" t="str">
        <f>IF(③T11_ルーム情報!A193="","",③T11_ルーム情報!A193)</f>
        <v/>
      </c>
      <c r="B193" s="1" t="str">
        <f>IF(③T11_ルーム情報!B193="","",③T11_ルーム情報!B193)</f>
        <v>S10172</v>
      </c>
      <c r="C193" s="1" t="str">
        <f>IF(③T11_ルーム情報!C193="","",③T11_ルーム情報!C193)</f>
        <v>光の泉本校</v>
      </c>
      <c r="D193" s="1" t="str">
        <f>IF(③T11_ルーム情報!D193="","",③T11_ルーム情報!D193)</f>
        <v>Room10</v>
      </c>
      <c r="E193" s="1">
        <f>IF(③T11_ルーム情報!E193="","",③T11_ルーム情報!E193)</f>
        <v>35</v>
      </c>
      <c r="F193" s="1" t="str">
        <f>IF(③T11_ルーム情報!F193="","",③T11_ルーム情報!F193)</f>
        <v>5F-2</v>
      </c>
    </row>
    <row r="194" spans="1:6" x14ac:dyDescent="0.4">
      <c r="A194" s="1" t="str">
        <f>IF(③T11_ルーム情報!A194="","",③T11_ルーム情報!A194)</f>
        <v/>
      </c>
      <c r="B194" s="1" t="str">
        <f>IF(③T11_ルーム情報!B194="","",③T11_ルーム情報!B194)</f>
        <v>S10172</v>
      </c>
      <c r="C194" s="1" t="str">
        <f>IF(③T11_ルーム情報!C194="","",③T11_ルーム情報!C194)</f>
        <v>光の泉本校</v>
      </c>
      <c r="D194" s="1" t="str">
        <f>IF(③T11_ルーム情報!D194="","",③T11_ルーム情報!D194)</f>
        <v>Room11</v>
      </c>
      <c r="E194" s="1">
        <f>IF(③T11_ルーム情報!E194="","",③T11_ルーム情報!E194)</f>
        <v>10</v>
      </c>
      <c r="F194" s="1" t="str">
        <f>IF(③T11_ルーム情報!F194="","",③T11_ルーム情報!F194)</f>
        <v>5F-4</v>
      </c>
    </row>
    <row r="195" spans="1:6" x14ac:dyDescent="0.4">
      <c r="A195" s="1" t="str">
        <f>IF(③T11_ルーム情報!A195="","",③T11_ルーム情報!A195)</f>
        <v/>
      </c>
      <c r="B195" s="1" t="str">
        <f>IF(③T11_ルーム情報!B195="","",③T11_ルーム情報!B195)</f>
        <v>S10172</v>
      </c>
      <c r="C195" s="1" t="str">
        <f>IF(③T11_ルーム情報!C195="","",③T11_ルーム情報!C195)</f>
        <v>光の泉本校</v>
      </c>
      <c r="D195" s="1" t="str">
        <f>IF(③T11_ルーム情報!D195="","",③T11_ルーム情報!D195)</f>
        <v>Room12</v>
      </c>
      <c r="E195" s="1">
        <f>IF(③T11_ルーム情報!E195="","",③T11_ルーム情報!E195)</f>
        <v>31</v>
      </c>
      <c r="F195" s="1" t="str">
        <f>IF(③T11_ルーム情報!F195="","",③T11_ルーム情報!F195)</f>
        <v>6F-1</v>
      </c>
    </row>
    <row r="196" spans="1:6" x14ac:dyDescent="0.4">
      <c r="A196" s="1" t="str">
        <f>IF(③T11_ルーム情報!A196="","",③T11_ルーム情報!A196)</f>
        <v/>
      </c>
      <c r="B196" s="1" t="str">
        <f>IF(③T11_ルーム情報!B196="","",③T11_ルーム情報!B196)</f>
        <v>S10172</v>
      </c>
      <c r="C196" s="1" t="str">
        <f>IF(③T11_ルーム情報!C196="","",③T11_ルーム情報!C196)</f>
        <v>光の泉本校</v>
      </c>
      <c r="D196" s="1" t="str">
        <f>IF(③T11_ルーム情報!D196="","",③T11_ルーム情報!D196)</f>
        <v>Room13</v>
      </c>
      <c r="E196" s="1">
        <f>IF(③T11_ルーム情報!E196="","",③T11_ルーム情報!E196)</f>
        <v>8</v>
      </c>
      <c r="F196" s="1" t="str">
        <f>IF(③T11_ルーム情報!F196="","",③T11_ルーム情報!F196)</f>
        <v>6F-2</v>
      </c>
    </row>
    <row r="197" spans="1:6" x14ac:dyDescent="0.4">
      <c r="A197" s="1" t="str">
        <f>IF(③T11_ルーム情報!A197="","",③T11_ルーム情報!A197)</f>
        <v/>
      </c>
      <c r="B197" s="1" t="str">
        <f>IF(③T11_ルーム情報!B197="","",③T11_ルーム情報!B197)</f>
        <v>S10168</v>
      </c>
      <c r="C197" s="1" t="str">
        <f>IF(③T11_ルーム情報!C197="","",③T11_ルーム情報!C197)</f>
        <v>長良校</v>
      </c>
      <c r="D197" s="1" t="str">
        <f>IF(③T11_ルーム情報!D197="","",③T11_ルーム情報!D197)</f>
        <v>Room1</v>
      </c>
      <c r="E197" s="1">
        <f>IF(③T11_ルーム情報!E197="","",③T11_ルーム情報!E197)</f>
        <v>17</v>
      </c>
      <c r="F197" s="1" t="str">
        <f>IF(③T11_ルーム情報!F197="","",③T11_ルーム情報!F197)</f>
        <v>2F奥</v>
      </c>
    </row>
    <row r="198" spans="1:6" x14ac:dyDescent="0.4">
      <c r="A198" s="1" t="str">
        <f>IF(③T11_ルーム情報!A198="","",③T11_ルーム情報!A198)</f>
        <v/>
      </c>
      <c r="B198" s="1" t="str">
        <f>IF(③T11_ルーム情報!B198="","",③T11_ルーム情報!B198)</f>
        <v>S10168</v>
      </c>
      <c r="C198" s="1" t="str">
        <f>IF(③T11_ルーム情報!C198="","",③T11_ルーム情報!C198)</f>
        <v>長良校</v>
      </c>
      <c r="D198" s="1" t="str">
        <f>IF(③T11_ルーム情報!D198="","",③T11_ルーム情報!D198)</f>
        <v>Room2</v>
      </c>
      <c r="E198" s="1">
        <f>IF(③T11_ルーム情報!E198="","",③T11_ルーム情報!E198)</f>
        <v>14</v>
      </c>
      <c r="F198" s="1" t="str">
        <f>IF(③T11_ルーム情報!F198="","",③T11_ルーム情報!F198)</f>
        <v>2Fオープン</v>
      </c>
    </row>
    <row r="199" spans="1:6" x14ac:dyDescent="0.4">
      <c r="A199" s="1" t="str">
        <f>IF(③T11_ルーム情報!A199="","",③T11_ルーム情報!A199)</f>
        <v/>
      </c>
      <c r="B199" s="1" t="str">
        <f>IF(③T11_ルーム情報!B199="","",③T11_ルーム情報!B199)</f>
        <v>S10168</v>
      </c>
      <c r="C199" s="1" t="str">
        <f>IF(③T11_ルーム情報!C199="","",③T11_ルーム情報!C199)</f>
        <v>長良校</v>
      </c>
      <c r="D199" s="1" t="str">
        <f>IF(③T11_ルーム情報!D199="","",③T11_ルーム情報!D199)</f>
        <v>Room3</v>
      </c>
      <c r="E199" s="1">
        <f>IF(③T11_ルーム情報!E199="","",③T11_ルーム情報!E199)</f>
        <v>10</v>
      </c>
      <c r="F199" s="1" t="str">
        <f>IF(③T11_ルーム情報!F199="","",③T11_ルーム情報!F199)</f>
        <v>2F旧アニー部屋</v>
      </c>
    </row>
    <row r="200" spans="1:6" x14ac:dyDescent="0.4">
      <c r="A200" s="1" t="str">
        <f>IF(③T11_ルーム情報!A200="","",③T11_ルーム情報!A200)</f>
        <v/>
      </c>
      <c r="B200" s="1" t="str">
        <f>IF(③T11_ルーム情報!B200="","",③T11_ルーム情報!B200)</f>
        <v>S10168</v>
      </c>
      <c r="C200" s="1" t="str">
        <f>IF(③T11_ルーム情報!C200="","",③T11_ルーム情報!C200)</f>
        <v>長良校</v>
      </c>
      <c r="D200" s="1" t="str">
        <f>IF(③T11_ルーム情報!D200="","",③T11_ルーム情報!D200)</f>
        <v>Room4</v>
      </c>
      <c r="E200" s="1">
        <f>IF(③T11_ルーム情報!E200="","",③T11_ルーム情報!E200)</f>
        <v>31</v>
      </c>
      <c r="F200" s="1" t="str">
        <f>IF(③T11_ルーム情報!F200="","",③T11_ルーム情報!F200)</f>
        <v>2F自習ブース</v>
      </c>
    </row>
    <row r="201" spans="1:6" x14ac:dyDescent="0.4">
      <c r="A201" s="1" t="str">
        <f>IF(③T11_ルーム情報!A201="","",③T11_ルーム情報!A201)</f>
        <v/>
      </c>
      <c r="B201" s="1" t="str">
        <f>IF(③T11_ルーム情報!B201="","",③T11_ルーム情報!B201)</f>
        <v>S10168</v>
      </c>
      <c r="C201" s="1" t="str">
        <f>IF(③T11_ルーム情報!C201="","",③T11_ルーム情報!C201)</f>
        <v>長良校</v>
      </c>
      <c r="D201" s="1" t="str">
        <f>IF(③T11_ルーム情報!D201="","",③T11_ルーム情報!D201)</f>
        <v>Room5</v>
      </c>
      <c r="E201" s="1">
        <f>IF(③T11_ルーム情報!E201="","",③T11_ルーム情報!E201)</f>
        <v>2</v>
      </c>
      <c r="F201" s="1" t="str">
        <f>IF(③T11_ルーム情報!F201="","",③T11_ルーム情報!F201)</f>
        <v>2F山の手①</v>
      </c>
    </row>
    <row r="202" spans="1:6" x14ac:dyDescent="0.4">
      <c r="A202" s="1" t="str">
        <f>IF(③T11_ルーム情報!A202="","",③T11_ルーム情報!A202)</f>
        <v/>
      </c>
      <c r="B202" s="1" t="str">
        <f>IF(③T11_ルーム情報!B202="","",③T11_ルーム情報!B202)</f>
        <v>S10168</v>
      </c>
      <c r="C202" s="1" t="str">
        <f>IF(③T11_ルーム情報!C202="","",③T11_ルーム情報!C202)</f>
        <v>長良校</v>
      </c>
      <c r="D202" s="1" t="str">
        <f>IF(③T11_ルーム情報!D202="","",③T11_ルーム情報!D202)</f>
        <v>Room6</v>
      </c>
      <c r="E202" s="1">
        <f>IF(③T11_ルーム情報!E202="","",③T11_ルーム情報!E202)</f>
        <v>4</v>
      </c>
      <c r="F202" s="1" t="str">
        <f>IF(③T11_ルーム情報!F202="","",③T11_ルーム情報!F202)</f>
        <v>高校個別</v>
      </c>
    </row>
    <row r="203" spans="1:6" x14ac:dyDescent="0.4">
      <c r="A203" s="1" t="str">
        <f>IF(③T11_ルーム情報!A203="","",③T11_ルーム情報!A203)</f>
        <v/>
      </c>
      <c r="B203" s="1" t="str">
        <f>IF(③T11_ルーム情報!B203="","",③T11_ルーム情報!B203)</f>
        <v>S10168</v>
      </c>
      <c r="C203" s="1" t="str">
        <f>IF(③T11_ルーム情報!C203="","",③T11_ルーム情報!C203)</f>
        <v>長良校</v>
      </c>
      <c r="D203" s="1" t="str">
        <f>IF(③T11_ルーム情報!D203="","",③T11_ルーム情報!D203)</f>
        <v>Room7</v>
      </c>
      <c r="E203" s="1">
        <f>IF(③T11_ルーム情報!E203="","",③T11_ルーム情報!E203)</f>
        <v>22</v>
      </c>
      <c r="F203" s="1" t="str">
        <f>IF(③T11_ルーム情報!F203="","",③T11_ルーム情報!F203)</f>
        <v>3F1番</v>
      </c>
    </row>
    <row r="204" spans="1:6" x14ac:dyDescent="0.4">
      <c r="A204" s="1" t="str">
        <f>IF(③T11_ルーム情報!A204="","",③T11_ルーム情報!A204)</f>
        <v/>
      </c>
      <c r="B204" s="1" t="str">
        <f>IF(③T11_ルーム情報!B204="","",③T11_ルーム情報!B204)</f>
        <v>S10168</v>
      </c>
      <c r="C204" s="1" t="str">
        <f>IF(③T11_ルーム情報!C204="","",③T11_ルーム情報!C204)</f>
        <v>長良校</v>
      </c>
      <c r="D204" s="1" t="str">
        <f>IF(③T11_ルーム情報!D204="","",③T11_ルーム情報!D204)</f>
        <v>Room8</v>
      </c>
      <c r="E204" s="1">
        <f>IF(③T11_ルーム情報!E204="","",③T11_ルーム情報!E204)</f>
        <v>13</v>
      </c>
      <c r="F204" s="1" t="str">
        <f>IF(③T11_ルーム情報!F204="","",③T11_ルーム情報!F204)</f>
        <v>3F2番</v>
      </c>
    </row>
    <row r="205" spans="1:6" x14ac:dyDescent="0.4">
      <c r="A205" s="1" t="str">
        <f>IF(③T11_ルーム情報!A205="","",③T11_ルーム情報!A205)</f>
        <v/>
      </c>
      <c r="B205" s="1" t="str">
        <f>IF(③T11_ルーム情報!B205="","",③T11_ルーム情報!B205)</f>
        <v>S10168</v>
      </c>
      <c r="C205" s="1" t="str">
        <f>IF(③T11_ルーム情報!C205="","",③T11_ルーム情報!C205)</f>
        <v>長良校</v>
      </c>
      <c r="D205" s="1" t="str">
        <f>IF(③T11_ルーム情報!D205="","",③T11_ルーム情報!D205)</f>
        <v>Room9</v>
      </c>
      <c r="E205" s="1">
        <f>IF(③T11_ルーム情報!E205="","",③T11_ルーム情報!E205)</f>
        <v>12</v>
      </c>
      <c r="F205" s="1" t="str">
        <f>IF(③T11_ルーム情報!F205="","",③T11_ルーム情報!F205)</f>
        <v>3F3番</v>
      </c>
    </row>
    <row r="206" spans="1:6" x14ac:dyDescent="0.4">
      <c r="A206" s="1" t="str">
        <f>IF(③T11_ルーム情報!A206="","",③T11_ルーム情報!A206)</f>
        <v/>
      </c>
      <c r="B206" s="1" t="str">
        <f>IF(③T11_ルーム情報!B206="","",③T11_ルーム情報!B206)</f>
        <v>S10168</v>
      </c>
      <c r="C206" s="1" t="str">
        <f>IF(③T11_ルーム情報!C206="","",③T11_ルーム情報!C206)</f>
        <v>長良校</v>
      </c>
      <c r="D206" s="1" t="str">
        <f>IF(③T11_ルーム情報!D206="","",③T11_ルーム情報!D206)</f>
        <v>Room10</v>
      </c>
      <c r="E206" s="1">
        <f>IF(③T11_ルーム情報!E206="","",③T11_ルーム情報!E206)</f>
        <v>20</v>
      </c>
      <c r="F206" s="1" t="str">
        <f>IF(③T11_ルーム情報!F206="","",③T11_ルーム情報!F206)</f>
        <v>3F4番</v>
      </c>
    </row>
    <row r="207" spans="1:6" x14ac:dyDescent="0.4">
      <c r="A207" s="1" t="str">
        <f>IF(③T11_ルーム情報!A207="","",③T11_ルーム情報!A207)</f>
        <v/>
      </c>
      <c r="B207" s="1" t="str">
        <f>IF(③T11_ルーム情報!B207="","",③T11_ルーム情報!B207)</f>
        <v>S10168</v>
      </c>
      <c r="C207" s="1" t="str">
        <f>IF(③T11_ルーム情報!C207="","",③T11_ルーム情報!C207)</f>
        <v>長良校</v>
      </c>
      <c r="D207" s="1" t="str">
        <f>IF(③T11_ルーム情報!D207="","",③T11_ルーム情報!D207)</f>
        <v>Room11</v>
      </c>
      <c r="E207" s="1">
        <f>IF(③T11_ルーム情報!E207="","",③T11_ルーム情報!E207)</f>
        <v>24</v>
      </c>
      <c r="F207" s="1" t="str">
        <f>IF(③T11_ルーム情報!F207="","",③T11_ルーム情報!F207)</f>
        <v>3F5番</v>
      </c>
    </row>
    <row r="208" spans="1:6" x14ac:dyDescent="0.4">
      <c r="A208" s="1" t="str">
        <f>IF(③T11_ルーム情報!A208="","",③T11_ルーム情報!A208)</f>
        <v/>
      </c>
      <c r="B208" s="1" t="str">
        <f>IF(③T11_ルーム情報!B208="","",③T11_ルーム情報!B208)</f>
        <v>S10168</v>
      </c>
      <c r="C208" s="1" t="str">
        <f>IF(③T11_ルーム情報!C208="","",③T11_ルーム情報!C208)</f>
        <v>長良校</v>
      </c>
      <c r="D208" s="1" t="str">
        <f>IF(③T11_ルーム情報!D208="","",③T11_ルーム情報!D208)</f>
        <v>Room12</v>
      </c>
      <c r="E208" s="1">
        <f>IF(③T11_ルーム情報!E208="","",③T11_ルーム情報!E208)</f>
        <v>7</v>
      </c>
      <c r="F208" s="1" t="str">
        <f>IF(③T11_ルーム情報!F208="","",③T11_ルーム情報!F208)</f>
        <v>4F北</v>
      </c>
    </row>
    <row r="209" spans="1:6" x14ac:dyDescent="0.4">
      <c r="A209" s="1" t="str">
        <f>IF(③T11_ルーム情報!A209="","",③T11_ルーム情報!A209)</f>
        <v/>
      </c>
      <c r="B209" s="1" t="str">
        <f>IF(③T11_ルーム情報!B209="","",③T11_ルーム情報!B209)</f>
        <v>S10168</v>
      </c>
      <c r="C209" s="1" t="str">
        <f>IF(③T11_ルーム情報!C209="","",③T11_ルーム情報!C209)</f>
        <v>長良校</v>
      </c>
      <c r="D209" s="1" t="str">
        <f>IF(③T11_ルーム情報!D209="","",③T11_ルーム情報!D209)</f>
        <v>Room13</v>
      </c>
      <c r="E209" s="1">
        <f>IF(③T11_ルーム情報!E209="","",③T11_ルーム情報!E209)</f>
        <v>14</v>
      </c>
      <c r="F209" s="1" t="str">
        <f>IF(③T11_ルーム情報!F209="","",③T11_ルーム情報!F209)</f>
        <v>4F真ん中</v>
      </c>
    </row>
    <row r="210" spans="1:6" x14ac:dyDescent="0.4">
      <c r="A210" s="1" t="str">
        <f>IF(③T11_ルーム情報!A210="","",③T11_ルーム情報!A210)</f>
        <v/>
      </c>
      <c r="B210" s="1" t="str">
        <f>IF(③T11_ルーム情報!B210="","",③T11_ルーム情報!B210)</f>
        <v>S10168</v>
      </c>
      <c r="C210" s="1" t="str">
        <f>IF(③T11_ルーム情報!C210="","",③T11_ルーム情報!C210)</f>
        <v>長良校</v>
      </c>
      <c r="D210" s="1" t="str">
        <f>IF(③T11_ルーム情報!D210="","",③T11_ルーム情報!D210)</f>
        <v>Room14</v>
      </c>
      <c r="E210" s="1">
        <f>IF(③T11_ルーム情報!E210="","",③T11_ルーム情報!E210)</f>
        <v>6</v>
      </c>
      <c r="F210" s="1" t="str">
        <f>IF(③T11_ルーム情報!F210="","",③T11_ルーム情報!F210)</f>
        <v>4F南</v>
      </c>
    </row>
    <row r="211" spans="1:6" x14ac:dyDescent="0.4">
      <c r="A211" s="1" t="str">
        <f>IF(③T11_ルーム情報!A211="","",③T11_ルーム情報!A211)</f>
        <v/>
      </c>
      <c r="B211" s="1" t="str">
        <f>IF(③T11_ルーム情報!B211="","",③T11_ルーム情報!B211)</f>
        <v>S10173</v>
      </c>
      <c r="C211" s="1" t="str">
        <f>IF(③T11_ルーム情報!C211="","",③T11_ルーム情報!C211)</f>
        <v>光の泉北校</v>
      </c>
      <c r="D211" s="1" t="str">
        <f>IF(③T11_ルーム情報!D211="","",③T11_ルーム情報!D211)</f>
        <v>Room1</v>
      </c>
      <c r="E211" s="1">
        <f>IF(③T11_ルーム情報!E211="","",③T11_ルーム情報!E211)</f>
        <v>17</v>
      </c>
      <c r="F211" s="1" t="str">
        <f>IF(③T11_ルーム情報!F211="","",③T11_ルーム情報!F211)</f>
        <v>2F奥</v>
      </c>
    </row>
    <row r="212" spans="1:6" x14ac:dyDescent="0.4">
      <c r="A212" s="1" t="str">
        <f>IF(③T11_ルーム情報!A212="","",③T11_ルーム情報!A212)</f>
        <v/>
      </c>
      <c r="B212" s="1" t="str">
        <f>IF(③T11_ルーム情報!B212="","",③T11_ルーム情報!B212)</f>
        <v>S10173</v>
      </c>
      <c r="C212" s="1" t="str">
        <f>IF(③T11_ルーム情報!C212="","",③T11_ルーム情報!C212)</f>
        <v>光の泉北校</v>
      </c>
      <c r="D212" s="1" t="str">
        <f>IF(③T11_ルーム情報!D212="","",③T11_ルーム情報!D212)</f>
        <v>Room2</v>
      </c>
      <c r="E212" s="1">
        <f>IF(③T11_ルーム情報!E212="","",③T11_ルーム情報!E212)</f>
        <v>14</v>
      </c>
      <c r="F212" s="1" t="str">
        <f>IF(③T11_ルーム情報!F212="","",③T11_ルーム情報!F212)</f>
        <v>2Fオープン</v>
      </c>
    </row>
    <row r="213" spans="1:6" x14ac:dyDescent="0.4">
      <c r="A213" s="1" t="str">
        <f>IF(③T11_ルーム情報!A213="","",③T11_ルーム情報!A213)</f>
        <v/>
      </c>
      <c r="B213" s="1" t="str">
        <f>IF(③T11_ルーム情報!B213="","",③T11_ルーム情報!B213)</f>
        <v>S10173</v>
      </c>
      <c r="C213" s="1" t="str">
        <f>IF(③T11_ルーム情報!C213="","",③T11_ルーム情報!C213)</f>
        <v>光の泉北校</v>
      </c>
      <c r="D213" s="1" t="str">
        <f>IF(③T11_ルーム情報!D213="","",③T11_ルーム情報!D213)</f>
        <v>Room3</v>
      </c>
      <c r="E213" s="1">
        <f>IF(③T11_ルーム情報!E213="","",③T11_ルーム情報!E213)</f>
        <v>10</v>
      </c>
      <c r="F213" s="1" t="str">
        <f>IF(③T11_ルーム情報!F213="","",③T11_ルーム情報!F213)</f>
        <v>2F旧アニー部屋</v>
      </c>
    </row>
    <row r="214" spans="1:6" x14ac:dyDescent="0.4">
      <c r="A214" s="1" t="str">
        <f>IF(③T11_ルーム情報!A214="","",③T11_ルーム情報!A214)</f>
        <v/>
      </c>
      <c r="B214" s="1" t="str">
        <f>IF(③T11_ルーム情報!B214="","",③T11_ルーム情報!B214)</f>
        <v>S10173</v>
      </c>
      <c r="C214" s="1" t="str">
        <f>IF(③T11_ルーム情報!C214="","",③T11_ルーム情報!C214)</f>
        <v>光の泉北校</v>
      </c>
      <c r="D214" s="1" t="str">
        <f>IF(③T11_ルーム情報!D214="","",③T11_ルーム情報!D214)</f>
        <v>Room4</v>
      </c>
      <c r="E214" s="1">
        <f>IF(③T11_ルーム情報!E214="","",③T11_ルーム情報!E214)</f>
        <v>31</v>
      </c>
      <c r="F214" s="1" t="str">
        <f>IF(③T11_ルーム情報!F214="","",③T11_ルーム情報!F214)</f>
        <v>2F自習ブース</v>
      </c>
    </row>
    <row r="215" spans="1:6" x14ac:dyDescent="0.4">
      <c r="A215" s="1" t="str">
        <f>IF(③T11_ルーム情報!A215="","",③T11_ルーム情報!A215)</f>
        <v/>
      </c>
      <c r="B215" s="1" t="str">
        <f>IF(③T11_ルーム情報!B215="","",③T11_ルーム情報!B215)</f>
        <v>S10173</v>
      </c>
      <c r="C215" s="1" t="str">
        <f>IF(③T11_ルーム情報!C215="","",③T11_ルーム情報!C215)</f>
        <v>光の泉北校</v>
      </c>
      <c r="D215" s="1" t="str">
        <f>IF(③T11_ルーム情報!D215="","",③T11_ルーム情報!D215)</f>
        <v>Room5</v>
      </c>
      <c r="E215" s="1">
        <f>IF(③T11_ルーム情報!E215="","",③T11_ルーム情報!E215)</f>
        <v>2</v>
      </c>
      <c r="F215" s="1" t="str">
        <f>IF(③T11_ルーム情報!F215="","",③T11_ルーム情報!F215)</f>
        <v>2F山の手①</v>
      </c>
    </row>
    <row r="216" spans="1:6" x14ac:dyDescent="0.4">
      <c r="A216" s="1" t="str">
        <f>IF(③T11_ルーム情報!A216="","",③T11_ルーム情報!A216)</f>
        <v/>
      </c>
      <c r="B216" s="1" t="str">
        <f>IF(③T11_ルーム情報!B216="","",③T11_ルーム情報!B216)</f>
        <v>S10173</v>
      </c>
      <c r="C216" s="1" t="str">
        <f>IF(③T11_ルーム情報!C216="","",③T11_ルーム情報!C216)</f>
        <v>光の泉北校</v>
      </c>
      <c r="D216" s="1" t="str">
        <f>IF(③T11_ルーム情報!D216="","",③T11_ルーム情報!D216)</f>
        <v>Room6</v>
      </c>
      <c r="E216" s="1">
        <f>IF(③T11_ルーム情報!E216="","",③T11_ルーム情報!E216)</f>
        <v>4</v>
      </c>
      <c r="F216" s="1" t="str">
        <f>IF(③T11_ルーム情報!F216="","",③T11_ルーム情報!F216)</f>
        <v>高校個別</v>
      </c>
    </row>
    <row r="217" spans="1:6" x14ac:dyDescent="0.4">
      <c r="A217" s="1" t="str">
        <f>IF(③T11_ルーム情報!A217="","",③T11_ルーム情報!A217)</f>
        <v/>
      </c>
      <c r="B217" s="1" t="str">
        <f>IF(③T11_ルーム情報!B217="","",③T11_ルーム情報!B217)</f>
        <v>S10173</v>
      </c>
      <c r="C217" s="1" t="str">
        <f>IF(③T11_ルーム情報!C217="","",③T11_ルーム情報!C217)</f>
        <v>光の泉北校</v>
      </c>
      <c r="D217" s="1" t="str">
        <f>IF(③T11_ルーム情報!D217="","",③T11_ルーム情報!D217)</f>
        <v>Room7</v>
      </c>
      <c r="E217" s="1">
        <f>IF(③T11_ルーム情報!E217="","",③T11_ルーム情報!E217)</f>
        <v>22</v>
      </c>
      <c r="F217" s="1" t="str">
        <f>IF(③T11_ルーム情報!F217="","",③T11_ルーム情報!F217)</f>
        <v>3F1番</v>
      </c>
    </row>
    <row r="218" spans="1:6" x14ac:dyDescent="0.4">
      <c r="A218" s="1" t="str">
        <f>IF(③T11_ルーム情報!A218="","",③T11_ルーム情報!A218)</f>
        <v/>
      </c>
      <c r="B218" s="1" t="str">
        <f>IF(③T11_ルーム情報!B218="","",③T11_ルーム情報!B218)</f>
        <v>S10173</v>
      </c>
      <c r="C218" s="1" t="str">
        <f>IF(③T11_ルーム情報!C218="","",③T11_ルーム情報!C218)</f>
        <v>光の泉北校</v>
      </c>
      <c r="D218" s="1" t="str">
        <f>IF(③T11_ルーム情報!D218="","",③T11_ルーム情報!D218)</f>
        <v>Room8</v>
      </c>
      <c r="E218" s="1">
        <f>IF(③T11_ルーム情報!E218="","",③T11_ルーム情報!E218)</f>
        <v>13</v>
      </c>
      <c r="F218" s="1" t="str">
        <f>IF(③T11_ルーム情報!F218="","",③T11_ルーム情報!F218)</f>
        <v>3F2番</v>
      </c>
    </row>
    <row r="219" spans="1:6" x14ac:dyDescent="0.4">
      <c r="A219" s="1" t="str">
        <f>IF(③T11_ルーム情報!A219="","",③T11_ルーム情報!A219)</f>
        <v/>
      </c>
      <c r="B219" s="1" t="str">
        <f>IF(③T11_ルーム情報!B219="","",③T11_ルーム情報!B219)</f>
        <v>S10173</v>
      </c>
      <c r="C219" s="1" t="str">
        <f>IF(③T11_ルーム情報!C219="","",③T11_ルーム情報!C219)</f>
        <v>光の泉北校</v>
      </c>
      <c r="D219" s="1" t="str">
        <f>IF(③T11_ルーム情報!D219="","",③T11_ルーム情報!D219)</f>
        <v>Room9</v>
      </c>
      <c r="E219" s="1">
        <f>IF(③T11_ルーム情報!E219="","",③T11_ルーム情報!E219)</f>
        <v>12</v>
      </c>
      <c r="F219" s="1" t="str">
        <f>IF(③T11_ルーム情報!F219="","",③T11_ルーム情報!F219)</f>
        <v>3F3番</v>
      </c>
    </row>
    <row r="220" spans="1:6" x14ac:dyDescent="0.4">
      <c r="A220" s="1" t="str">
        <f>IF(③T11_ルーム情報!A220="","",③T11_ルーム情報!A220)</f>
        <v/>
      </c>
      <c r="B220" s="1" t="str">
        <f>IF(③T11_ルーム情報!B220="","",③T11_ルーム情報!B220)</f>
        <v>S10173</v>
      </c>
      <c r="C220" s="1" t="str">
        <f>IF(③T11_ルーム情報!C220="","",③T11_ルーム情報!C220)</f>
        <v>光の泉北校</v>
      </c>
      <c r="D220" s="1" t="str">
        <f>IF(③T11_ルーム情報!D220="","",③T11_ルーム情報!D220)</f>
        <v>Room10</v>
      </c>
      <c r="E220" s="1">
        <f>IF(③T11_ルーム情報!E220="","",③T11_ルーム情報!E220)</f>
        <v>20</v>
      </c>
      <c r="F220" s="1" t="str">
        <f>IF(③T11_ルーム情報!F220="","",③T11_ルーム情報!F220)</f>
        <v>3F4番</v>
      </c>
    </row>
    <row r="221" spans="1:6" x14ac:dyDescent="0.4">
      <c r="A221" s="1" t="str">
        <f>IF(③T11_ルーム情報!A221="","",③T11_ルーム情報!A221)</f>
        <v/>
      </c>
      <c r="B221" s="1" t="str">
        <f>IF(③T11_ルーム情報!B221="","",③T11_ルーム情報!B221)</f>
        <v>S10173</v>
      </c>
      <c r="C221" s="1" t="str">
        <f>IF(③T11_ルーム情報!C221="","",③T11_ルーム情報!C221)</f>
        <v>光の泉北校</v>
      </c>
      <c r="D221" s="1" t="str">
        <f>IF(③T11_ルーム情報!D221="","",③T11_ルーム情報!D221)</f>
        <v>Room11</v>
      </c>
      <c r="E221" s="1">
        <f>IF(③T11_ルーム情報!E221="","",③T11_ルーム情報!E221)</f>
        <v>24</v>
      </c>
      <c r="F221" s="1" t="str">
        <f>IF(③T11_ルーム情報!F221="","",③T11_ルーム情報!F221)</f>
        <v>3F5番</v>
      </c>
    </row>
    <row r="222" spans="1:6" x14ac:dyDescent="0.4">
      <c r="A222" s="1" t="str">
        <f>IF(③T11_ルーム情報!A222="","",③T11_ルーム情報!A222)</f>
        <v/>
      </c>
      <c r="B222" s="1" t="str">
        <f>IF(③T11_ルーム情報!B222="","",③T11_ルーム情報!B222)</f>
        <v>S10173</v>
      </c>
      <c r="C222" s="1" t="str">
        <f>IF(③T11_ルーム情報!C222="","",③T11_ルーム情報!C222)</f>
        <v>光の泉北校</v>
      </c>
      <c r="D222" s="1" t="str">
        <f>IF(③T11_ルーム情報!D222="","",③T11_ルーム情報!D222)</f>
        <v>Room12</v>
      </c>
      <c r="E222" s="1">
        <f>IF(③T11_ルーム情報!E222="","",③T11_ルーム情報!E222)</f>
        <v>7</v>
      </c>
      <c r="F222" s="1" t="str">
        <f>IF(③T11_ルーム情報!F222="","",③T11_ルーム情報!F222)</f>
        <v>4F北</v>
      </c>
    </row>
    <row r="223" spans="1:6" x14ac:dyDescent="0.4">
      <c r="A223" s="1" t="str">
        <f>IF(③T11_ルーム情報!A223="","",③T11_ルーム情報!A223)</f>
        <v/>
      </c>
      <c r="B223" s="1" t="str">
        <f>IF(③T11_ルーム情報!B223="","",③T11_ルーム情報!B223)</f>
        <v>S10173</v>
      </c>
      <c r="C223" s="1" t="str">
        <f>IF(③T11_ルーム情報!C223="","",③T11_ルーム情報!C223)</f>
        <v>光の泉北校</v>
      </c>
      <c r="D223" s="1" t="str">
        <f>IF(③T11_ルーム情報!D223="","",③T11_ルーム情報!D223)</f>
        <v>Room13</v>
      </c>
      <c r="E223" s="1">
        <f>IF(③T11_ルーム情報!E223="","",③T11_ルーム情報!E223)</f>
        <v>14</v>
      </c>
      <c r="F223" s="1" t="str">
        <f>IF(③T11_ルーム情報!F223="","",③T11_ルーム情報!F223)</f>
        <v>4F真ん中</v>
      </c>
    </row>
    <row r="224" spans="1:6" x14ac:dyDescent="0.4">
      <c r="A224" s="1" t="str">
        <f>IF(③T11_ルーム情報!A224="","",③T11_ルーム情報!A224)</f>
        <v/>
      </c>
      <c r="B224" s="1" t="str">
        <f>IF(③T11_ルーム情報!B224="","",③T11_ルーム情報!B224)</f>
        <v>S10173</v>
      </c>
      <c r="C224" s="1" t="str">
        <f>IF(③T11_ルーム情報!C224="","",③T11_ルーム情報!C224)</f>
        <v>光の泉北校</v>
      </c>
      <c r="D224" s="1" t="str">
        <f>IF(③T11_ルーム情報!D224="","",③T11_ルーム情報!D224)</f>
        <v>Room14</v>
      </c>
      <c r="E224" s="1">
        <f>IF(③T11_ルーム情報!E224="","",③T11_ルーム情報!E224)</f>
        <v>6</v>
      </c>
      <c r="F224" s="1" t="str">
        <f>IF(③T11_ルーム情報!F224="","",③T11_ルーム情報!F224)</f>
        <v>4F南</v>
      </c>
    </row>
    <row r="225" spans="1:6" x14ac:dyDescent="0.4">
      <c r="A225" s="1" t="str">
        <f>IF(③T11_ルーム情報!A225="","",③T11_ルーム情報!A225)</f>
        <v/>
      </c>
      <c r="B225" s="1" t="str">
        <f>IF(③T11_ルーム情報!B225="","",③T11_ルーム情報!B225)</f>
        <v>S10170</v>
      </c>
      <c r="C225" s="1" t="str">
        <f>IF(③T11_ルーム情報!C225="","",③T11_ルーム情報!C225)</f>
        <v>笠松校</v>
      </c>
      <c r="D225" s="1" t="str">
        <f>IF(③T11_ルーム情報!D225="","",③T11_ルーム情報!D225)</f>
        <v>Room1</v>
      </c>
      <c r="E225" s="1">
        <f>IF(③T11_ルーム情報!E225="","",③T11_ルーム情報!E225)</f>
        <v>34</v>
      </c>
      <c r="F225" s="1" t="str">
        <f>IF(③T11_ルーム情報!F225="","",③T11_ルーム情報!F225)</f>
        <v>大教室</v>
      </c>
    </row>
    <row r="226" spans="1:6" x14ac:dyDescent="0.4">
      <c r="A226" s="1" t="str">
        <f>IF(③T11_ルーム情報!A226="","",③T11_ルーム情報!A226)</f>
        <v/>
      </c>
      <c r="B226" s="1" t="str">
        <f>IF(③T11_ルーム情報!B226="","",③T11_ルーム情報!B226)</f>
        <v>S10170</v>
      </c>
      <c r="C226" s="1" t="str">
        <f>IF(③T11_ルーム情報!C226="","",③T11_ルーム情報!C226)</f>
        <v>笠松校</v>
      </c>
      <c r="D226" s="1" t="str">
        <f>IF(③T11_ルーム情報!D226="","",③T11_ルーム情報!D226)</f>
        <v>Room2</v>
      </c>
      <c r="E226" s="1">
        <f>IF(③T11_ルーム情報!E226="","",③T11_ルーム情報!E226)</f>
        <v>18</v>
      </c>
      <c r="F226" s="1" t="str">
        <f>IF(③T11_ルーム情報!F226="","",③T11_ルーム情報!F226)</f>
        <v>小教室</v>
      </c>
    </row>
    <row r="227" spans="1:6" x14ac:dyDescent="0.4">
      <c r="A227" s="1" t="str">
        <f>IF(③T11_ルーム情報!A227="","",③T11_ルーム情報!A227)</f>
        <v/>
      </c>
      <c r="B227" s="1" t="str">
        <f>IF(③T11_ルーム情報!B227="","",③T11_ルーム情報!B227)</f>
        <v>S10170</v>
      </c>
      <c r="C227" s="1" t="str">
        <f>IF(③T11_ルーム情報!C227="","",③T11_ルーム情報!C227)</f>
        <v>笠松校</v>
      </c>
      <c r="D227" s="1" t="str">
        <f>IF(③T11_ルーム情報!D227="","",③T11_ルーム情報!D227)</f>
        <v>Room3</v>
      </c>
      <c r="E227" s="1">
        <f>IF(③T11_ルーム情報!E227="","",③T11_ルーム情報!E227)</f>
        <v>11</v>
      </c>
      <c r="F227" s="1" t="str">
        <f>IF(③T11_ルーム情報!F227="","",③T11_ルーム情報!F227)</f>
        <v>オープン</v>
      </c>
    </row>
    <row r="228" spans="1:6" x14ac:dyDescent="0.4">
      <c r="A228" s="1" t="str">
        <f>IF(③T11_ルーム情報!A228="","",③T11_ルーム情報!A228)</f>
        <v/>
      </c>
      <c r="B228" s="1" t="str">
        <f>IF(③T11_ルーム情報!B228="","",③T11_ルーム情報!B228)</f>
        <v>S10170</v>
      </c>
      <c r="C228" s="1" t="str">
        <f>IF(③T11_ルーム情報!C228="","",③T11_ルーム情報!C228)</f>
        <v>笠松校</v>
      </c>
      <c r="D228" s="1" t="str">
        <f>IF(③T11_ルーム情報!D228="","",③T11_ルーム情報!D228)</f>
        <v>Room4</v>
      </c>
      <c r="E228" s="1">
        <f>IF(③T11_ルーム情報!E228="","",③T11_ルーム情報!E228)</f>
        <v>16</v>
      </c>
      <c r="F228" s="1" t="str">
        <f>IF(③T11_ルーム情報!F228="","",③T11_ルーム情報!F228)</f>
        <v>ガクセン</v>
      </c>
    </row>
    <row r="229" spans="1:6" x14ac:dyDescent="0.4">
      <c r="A229" s="1" t="str">
        <f>IF(③T11_ルーム情報!A229="","",③T11_ルーム情報!A229)</f>
        <v/>
      </c>
      <c r="B229" s="1" t="str">
        <f>IF(③T11_ルーム情報!B229="","",③T11_ルーム情報!B229)</f>
        <v>S10170</v>
      </c>
      <c r="C229" s="1" t="str">
        <f>IF(③T11_ルーム情報!C229="","",③T11_ルーム情報!C229)</f>
        <v>笠松校</v>
      </c>
      <c r="D229" s="1" t="str">
        <f>IF(③T11_ルーム情報!D229="","",③T11_ルーム情報!D229)</f>
        <v>Room5</v>
      </c>
      <c r="E229" s="1">
        <f>IF(③T11_ルーム情報!E229="","",③T11_ルーム情報!E229)</f>
        <v>14</v>
      </c>
      <c r="F229" s="1" t="str">
        <f>IF(③T11_ルーム情報!F229="","",③T11_ルーム情報!F229)</f>
        <v>自習ブース</v>
      </c>
    </row>
    <row r="230" spans="1:6" x14ac:dyDescent="0.4">
      <c r="A230" s="1" t="str">
        <f>IF(③T11_ルーム情報!A230="","",③T11_ルーム情報!A230)</f>
        <v/>
      </c>
      <c r="B230" s="1" t="str">
        <f>IF(③T11_ルーム情報!B230="","",③T11_ルーム情報!B230)</f>
        <v>S10171</v>
      </c>
      <c r="C230" s="1" t="str">
        <f>IF(③T11_ルーム情報!C230="","",③T11_ルーム情報!C230)</f>
        <v>那加校</v>
      </c>
      <c r="D230" s="1" t="str">
        <f>IF(③T11_ルーム情報!D230="","",③T11_ルーム情報!D230)</f>
        <v>Room1</v>
      </c>
      <c r="E230" s="1">
        <f>IF(③T11_ルーム情報!E230="","",③T11_ルーム情報!E230)</f>
        <v>6</v>
      </c>
      <c r="F230" s="1" t="str">
        <f>IF(③T11_ルーム情報!F230="","",③T11_ルーム情報!F230)</f>
        <v>1F手前</v>
      </c>
    </row>
    <row r="231" spans="1:6" x14ac:dyDescent="0.4">
      <c r="A231" s="1" t="str">
        <f>IF(③T11_ルーム情報!A231="","",③T11_ルーム情報!A231)</f>
        <v/>
      </c>
      <c r="B231" s="1" t="str">
        <f>IF(③T11_ルーム情報!B231="","",③T11_ルーム情報!B231)</f>
        <v>S10171</v>
      </c>
      <c r="C231" s="1" t="str">
        <f>IF(③T11_ルーム情報!C231="","",③T11_ルーム情報!C231)</f>
        <v>那加校</v>
      </c>
      <c r="D231" s="1" t="str">
        <f>IF(③T11_ルーム情報!D231="","",③T11_ルーム情報!D231)</f>
        <v>Room2</v>
      </c>
      <c r="E231" s="1">
        <f>IF(③T11_ルーム情報!E231="","",③T11_ルーム情報!E231)</f>
        <v>21</v>
      </c>
      <c r="F231" s="1" t="str">
        <f>IF(③T11_ルーム情報!F231="","",③T11_ルーム情報!F231)</f>
        <v>1F奥</v>
      </c>
    </row>
    <row r="232" spans="1:6" x14ac:dyDescent="0.4">
      <c r="A232" s="1" t="str">
        <f>IF(③T11_ルーム情報!A232="","",③T11_ルーム情報!A232)</f>
        <v/>
      </c>
      <c r="B232" s="1" t="str">
        <f>IF(③T11_ルーム情報!B232="","",③T11_ルーム情報!B232)</f>
        <v>S10171</v>
      </c>
      <c r="C232" s="1" t="str">
        <f>IF(③T11_ルーム情報!C232="","",③T11_ルーム情報!C232)</f>
        <v>那加校</v>
      </c>
      <c r="D232" s="1" t="str">
        <f>IF(③T11_ルーム情報!D232="","",③T11_ルーム情報!D232)</f>
        <v>Room3</v>
      </c>
      <c r="E232" s="1">
        <f>IF(③T11_ルーム情報!E232="","",③T11_ルーム情報!E232)</f>
        <v>14</v>
      </c>
      <c r="F232" s="1" t="str">
        <f>IF(③T11_ルーム情報!F232="","",③T11_ルーム情報!F232)</f>
        <v>2F左手前</v>
      </c>
    </row>
    <row r="233" spans="1:6" x14ac:dyDescent="0.4">
      <c r="A233" s="1" t="str">
        <f>IF(③T11_ルーム情報!A233="","",③T11_ルーム情報!A233)</f>
        <v/>
      </c>
      <c r="B233" s="1" t="str">
        <f>IF(③T11_ルーム情報!B233="","",③T11_ルーム情報!B233)</f>
        <v>S10171</v>
      </c>
      <c r="C233" s="1" t="str">
        <f>IF(③T11_ルーム情報!C233="","",③T11_ルーム情報!C233)</f>
        <v>那加校</v>
      </c>
      <c r="D233" s="1" t="str">
        <f>IF(③T11_ルーム情報!D233="","",③T11_ルーム情報!D233)</f>
        <v>Room4</v>
      </c>
      <c r="E233" s="1">
        <f>IF(③T11_ルーム情報!E233="","",③T11_ルーム情報!E233)</f>
        <v>20</v>
      </c>
      <c r="F233" s="1" t="str">
        <f>IF(③T11_ルーム情報!F233="","",③T11_ルーム情報!F233)</f>
        <v>2F左奥</v>
      </c>
    </row>
    <row r="234" spans="1:6" x14ac:dyDescent="0.4">
      <c r="A234" s="1" t="str">
        <f>IF(③T11_ルーム情報!A234="","",③T11_ルーム情報!A234)</f>
        <v/>
      </c>
      <c r="B234" s="1" t="str">
        <f>IF(③T11_ルーム情報!B234="","",③T11_ルーム情報!B234)</f>
        <v>S10171</v>
      </c>
      <c r="C234" s="1" t="str">
        <f>IF(③T11_ルーム情報!C234="","",③T11_ルーム情報!C234)</f>
        <v>那加校</v>
      </c>
      <c r="D234" s="1" t="str">
        <f>IF(③T11_ルーム情報!D234="","",③T11_ルーム情報!D234)</f>
        <v>Room5</v>
      </c>
      <c r="E234" s="1">
        <f>IF(③T11_ルーム情報!E234="","",③T11_ルーム情報!E234)</f>
        <v>12</v>
      </c>
      <c r="F234" s="1" t="str">
        <f>IF(③T11_ルーム情報!F234="","",③T11_ルーム情報!F234)</f>
        <v>2F右奥</v>
      </c>
    </row>
    <row r="235" spans="1:6" x14ac:dyDescent="0.4">
      <c r="A235" s="1" t="str">
        <f>IF(③T11_ルーム情報!A235="","",③T11_ルーム情報!A235)</f>
        <v/>
      </c>
      <c r="B235" s="1" t="str">
        <f>IF(③T11_ルーム情報!B235="","",③T11_ルーム情報!B235)</f>
        <v>S10169</v>
      </c>
      <c r="C235" s="1" t="str">
        <f>IF(③T11_ルーム情報!C235="","",③T11_ルーム情報!C235)</f>
        <v>三里校</v>
      </c>
      <c r="D235" s="1" t="str">
        <f>IF(③T11_ルーム情報!D235="","",③T11_ルーム情報!D235)</f>
        <v>Room1</v>
      </c>
      <c r="E235" s="1">
        <f>IF(③T11_ルーム情報!E235="","",③T11_ルーム情報!E235)</f>
        <v>12</v>
      </c>
      <c r="F235" s="1" t="str">
        <f>IF(③T11_ルーム情報!F235="","",③T11_ルーム情報!F235)</f>
        <v>奥</v>
      </c>
    </row>
    <row r="236" spans="1:6" x14ac:dyDescent="0.4">
      <c r="A236" s="1" t="str">
        <f>IF(③T11_ルーム情報!A236="","",③T11_ルーム情報!A236)</f>
        <v/>
      </c>
      <c r="B236" s="1" t="str">
        <f>IF(③T11_ルーム情報!B236="","",③T11_ルーム情報!B236)</f>
        <v>S10169</v>
      </c>
      <c r="C236" s="1" t="str">
        <f>IF(③T11_ルーム情報!C236="","",③T11_ルーム情報!C236)</f>
        <v>三里校</v>
      </c>
      <c r="D236" s="1" t="str">
        <f>IF(③T11_ルーム情報!D236="","",③T11_ルーム情報!D236)</f>
        <v>Room2</v>
      </c>
      <c r="E236" s="1">
        <f>IF(③T11_ルーム情報!E236="","",③T11_ルーム情報!E236)</f>
        <v>10</v>
      </c>
      <c r="F236" s="1" t="str">
        <f>IF(③T11_ルーム情報!F236="","",③T11_ルーム情報!F236)</f>
        <v>真ん中</v>
      </c>
    </row>
    <row r="237" spans="1:6" x14ac:dyDescent="0.4">
      <c r="A237" s="1" t="str">
        <f>IF(③T11_ルーム情報!A237="","",③T11_ルーム情報!A237)</f>
        <v/>
      </c>
      <c r="B237" s="1" t="str">
        <f>IF(③T11_ルーム情報!B237="","",③T11_ルーム情報!B237)</f>
        <v>S10169</v>
      </c>
      <c r="C237" s="1" t="str">
        <f>IF(③T11_ルーム情報!C237="","",③T11_ルーム情報!C237)</f>
        <v>三里校</v>
      </c>
      <c r="D237" s="1" t="str">
        <f>IF(③T11_ルーム情報!D237="","",③T11_ルーム情報!D237)</f>
        <v>Room3</v>
      </c>
      <c r="E237" s="1">
        <f>IF(③T11_ルーム情報!E237="","",③T11_ルーム情報!E237)</f>
        <v>14</v>
      </c>
      <c r="F237" s="1" t="str">
        <f>IF(③T11_ルーム情報!F237="","",③T11_ルーム情報!F237)</f>
        <v>ロボ</v>
      </c>
    </row>
    <row r="238" spans="1:6" x14ac:dyDescent="0.4">
      <c r="A238" s="1" t="str">
        <f>IF(③T11_ルーム情報!A238="","",③T11_ルーム情報!A238)</f>
        <v/>
      </c>
      <c r="B238" s="1" t="str">
        <f>IF(③T11_ルーム情報!B238="","",③T11_ルーム情報!B238)</f>
        <v>S10169</v>
      </c>
      <c r="C238" s="1" t="str">
        <f>IF(③T11_ルーム情報!C238="","",③T11_ルーム情報!C238)</f>
        <v>三里校</v>
      </c>
      <c r="D238" s="1" t="str">
        <f>IF(③T11_ルーム情報!D238="","",③T11_ルーム情報!D238)</f>
        <v>Room4</v>
      </c>
      <c r="E238" s="1">
        <f>IF(③T11_ルーム情報!E238="","",③T11_ルーム情報!E238)</f>
        <v>20</v>
      </c>
      <c r="F238" s="1" t="str">
        <f>IF(③T11_ルーム情報!F238="","",③T11_ルーム情報!F238)</f>
        <v>ガクセン</v>
      </c>
    </row>
    <row r="239" spans="1:6" x14ac:dyDescent="0.4">
      <c r="A239" s="1" t="str">
        <f>IF(③T11_ルーム情報!A239="","",③T11_ルーム情報!A239)</f>
        <v/>
      </c>
      <c r="B239" s="1" t="str">
        <f>IF(③T11_ルーム情報!B239="","",③T11_ルーム情報!B239)</f>
        <v>S10169</v>
      </c>
      <c r="C239" s="1" t="str">
        <f>IF(③T11_ルーム情報!C239="","",③T11_ルーム情報!C239)</f>
        <v>三里校</v>
      </c>
      <c r="D239" s="1" t="str">
        <f>IF(③T11_ルーム情報!D239="","",③T11_ルーム情報!D239)</f>
        <v>Room5</v>
      </c>
      <c r="E239" s="1">
        <f>IF(③T11_ルーム情報!E239="","",③T11_ルーム情報!E239)</f>
        <v>6</v>
      </c>
      <c r="F239" s="1" t="str">
        <f>IF(③T11_ルーム情報!F239="","",③T11_ルーム情報!F239)</f>
        <v>自習ブース</v>
      </c>
    </row>
    <row r="240" spans="1:6" x14ac:dyDescent="0.4">
      <c r="A240" s="1" t="str">
        <f>IF(③T11_ルーム情報!A240="","",③T11_ルーム情報!A240)</f>
        <v/>
      </c>
      <c r="B240" s="1" t="str">
        <f>IF(③T11_ルーム情報!B240="","",③T11_ルーム情報!B240)</f>
        <v>S10174</v>
      </c>
      <c r="C240" s="1" t="str">
        <f>IF(③T11_ルーム情報!C240="","",③T11_ルーム情報!C240)</f>
        <v>岐阜予備</v>
      </c>
      <c r="D240" s="1" t="str">
        <f>IF(③T11_ルーム情報!D240="","",③T11_ルーム情報!D240)</f>
        <v>Room1</v>
      </c>
      <c r="E240" s="1">
        <f>IF(③T11_ルーム情報!E240="","",③T11_ルーム情報!E240)</f>
        <v>18</v>
      </c>
      <c r="F240" s="1" t="str">
        <f>IF(③T11_ルーム情報!F240="","",③T11_ルーム情報!F240)</f>
        <v>大</v>
      </c>
    </row>
    <row r="241" spans="1:6" x14ac:dyDescent="0.4">
      <c r="A241" s="1" t="str">
        <f>IF(③T11_ルーム情報!A241="","",③T11_ルーム情報!A241)</f>
        <v/>
      </c>
      <c r="B241" s="1" t="str">
        <f>IF(③T11_ルーム情報!B241="","",③T11_ルーム情報!B241)</f>
        <v>S10174</v>
      </c>
      <c r="C241" s="1" t="str">
        <f>IF(③T11_ルーム情報!C241="","",③T11_ルーム情報!C241)</f>
        <v>岐阜予備</v>
      </c>
      <c r="D241" s="1" t="str">
        <f>IF(③T11_ルーム情報!D241="","",③T11_ルーム情報!D241)</f>
        <v>Room2</v>
      </c>
      <c r="E241" s="1">
        <f>IF(③T11_ルーム情報!E241="","",③T11_ルーム情報!E241)</f>
        <v>12</v>
      </c>
      <c r="F241" s="1" t="str">
        <f>IF(③T11_ルーム情報!F241="","",③T11_ルーム情報!F241)</f>
        <v>小</v>
      </c>
    </row>
    <row r="242" spans="1:6" x14ac:dyDescent="0.4">
      <c r="A242" s="1" t="str">
        <f>IF(③T11_ルーム情報!A242="","",③T11_ルーム情報!A242)</f>
        <v/>
      </c>
      <c r="B242" s="1" t="str">
        <f>IF(③T11_ルーム情報!B242="","",③T11_ルーム情報!B242)</f>
        <v>S10174</v>
      </c>
      <c r="C242" s="1" t="str">
        <f>IF(③T11_ルーム情報!C242="","",③T11_ルーム情報!C242)</f>
        <v>岐阜予備</v>
      </c>
      <c r="D242" s="1" t="str">
        <f>IF(③T11_ルーム情報!D242="","",③T11_ルーム情報!D242)</f>
        <v>Room3</v>
      </c>
      <c r="E242" s="1">
        <f>IF(③T11_ルーム情報!E242="","",③T11_ルーム情報!E242)</f>
        <v>8</v>
      </c>
      <c r="F242" s="1" t="str">
        <f>IF(③T11_ルーム情報!F242="","",③T11_ルーム情報!F242)</f>
        <v>事務室兼個別</v>
      </c>
    </row>
    <row r="243" spans="1:6" x14ac:dyDescent="0.4">
      <c r="A243" s="1" t="str">
        <f>IF(③T11_ルーム情報!A243="","",③T11_ルーム情報!A243)</f>
        <v/>
      </c>
      <c r="B243" s="1" t="str">
        <f>IF(③T11_ルーム情報!B243="","",③T11_ルーム情報!B243)</f>
        <v>S10174</v>
      </c>
      <c r="C243" s="1" t="str">
        <f>IF(③T11_ルーム情報!C243="","",③T11_ルーム情報!C243)</f>
        <v>岐阜予備</v>
      </c>
      <c r="D243" s="1" t="str">
        <f>IF(③T11_ルーム情報!D243="","",③T11_ルーム情報!D243)</f>
        <v>Room4</v>
      </c>
      <c r="E243" s="1">
        <f>IF(③T11_ルーム情報!E243="","",③T11_ルーム情報!E243)</f>
        <v>28</v>
      </c>
      <c r="F243" s="1" t="str">
        <f>IF(③T11_ルーム情報!F243="","",③T11_ルーム情報!F243)</f>
        <v>自習室</v>
      </c>
    </row>
    <row r="244" spans="1:6" x14ac:dyDescent="0.4">
      <c r="A244" s="1" t="str">
        <f>IF(③T11_ルーム情報!A244="","",③T11_ルーム情報!A244)</f>
        <v/>
      </c>
      <c r="B244" s="1" t="str">
        <f>IF(③T11_ルーム情報!B244="","",③T11_ルーム情報!B244)</f>
        <v>S10174</v>
      </c>
      <c r="C244" s="1" t="str">
        <f>IF(③T11_ルーム情報!C244="","",③T11_ルーム情報!C244)</f>
        <v>岐阜予備</v>
      </c>
      <c r="D244" s="1" t="str">
        <f>IF(③T11_ルーム情報!D244="","",③T11_ルーム情報!D244)</f>
        <v>Room5</v>
      </c>
      <c r="E244" s="1">
        <f>IF(③T11_ルーム情報!E244="","",③T11_ルーム情報!E244)</f>
        <v>15</v>
      </c>
      <c r="F244" s="1" t="str">
        <f>IF(③T11_ルーム情報!F244="","",③T11_ルーム情報!F244)</f>
        <v>休憩室と自習室</v>
      </c>
    </row>
    <row r="245" spans="1:6" x14ac:dyDescent="0.4">
      <c r="A245" s="1" t="str">
        <f>IF(③T11_ルーム情報!A245="","",③T11_ルーム情報!A245)</f>
        <v/>
      </c>
      <c r="B245" s="1" t="str">
        <f>IF(③T11_ルーム情報!B245="","",③T11_ルーム情報!B245)</f>
        <v/>
      </c>
      <c r="C245" s="1" t="str">
        <f>IF(③T11_ルーム情報!C245="","",③T11_ルーム情報!C245)</f>
        <v/>
      </c>
      <c r="D245" s="1" t="str">
        <f>IF(③T11_ルーム情報!D245="","",③T11_ルーム情報!D245)</f>
        <v/>
      </c>
      <c r="E245" s="1" t="str">
        <f>IF(③T11_ルーム情報!E245="","",③T11_ルーム情報!E245)</f>
        <v/>
      </c>
      <c r="F245" s="1" t="str">
        <f>IF(③T11_ルーム情報!F245="","",③T11_ルーム情報!F245)</f>
        <v/>
      </c>
    </row>
    <row r="246" spans="1:6" x14ac:dyDescent="0.4">
      <c r="A246" s="1" t="str">
        <f>IF(③T11_ルーム情報!A246="","",③T11_ルーム情報!A246)</f>
        <v/>
      </c>
      <c r="B246" s="1" t="str">
        <f>IF(③T11_ルーム情報!B246="","",③T11_ルーム情報!B246)</f>
        <v/>
      </c>
      <c r="C246" s="1" t="str">
        <f>IF(③T11_ルーム情報!C246="","",③T11_ルーム情報!C246)</f>
        <v/>
      </c>
      <c r="D246" s="1" t="str">
        <f>IF(③T11_ルーム情報!D246="","",③T11_ルーム情報!D246)</f>
        <v/>
      </c>
      <c r="E246" s="1" t="str">
        <f>IF(③T11_ルーム情報!E246="","",③T11_ルーム情報!E246)</f>
        <v/>
      </c>
      <c r="F246" s="1" t="str">
        <f>IF(③T11_ルーム情報!F246="","",③T11_ルーム情報!F246)</f>
        <v/>
      </c>
    </row>
    <row r="247" spans="1:6" x14ac:dyDescent="0.4">
      <c r="A247" s="1" t="str">
        <f>IF(③T11_ルーム情報!A247="","",③T11_ルーム情報!A247)</f>
        <v/>
      </c>
      <c r="B247" s="1" t="str">
        <f>IF(③T11_ルーム情報!B247="","",③T11_ルーム情報!B247)</f>
        <v/>
      </c>
      <c r="C247" s="1" t="str">
        <f>IF(③T11_ルーム情報!C247="","",③T11_ルーム情報!C247)</f>
        <v/>
      </c>
      <c r="D247" s="1" t="str">
        <f>IF(③T11_ルーム情報!D247="","",③T11_ルーム情報!D247)</f>
        <v/>
      </c>
      <c r="E247" s="1" t="str">
        <f>IF(③T11_ルーム情報!E247="","",③T11_ルーム情報!E247)</f>
        <v/>
      </c>
      <c r="F247" s="1" t="str">
        <f>IF(③T11_ルーム情報!F247="","",③T11_ルーム情報!F247)</f>
        <v/>
      </c>
    </row>
    <row r="248" spans="1:6" x14ac:dyDescent="0.4">
      <c r="A248" s="1" t="str">
        <f>IF(③T11_ルーム情報!A248="","",③T11_ルーム情報!A248)</f>
        <v/>
      </c>
      <c r="B248" s="1" t="str">
        <f>IF(③T11_ルーム情報!B248="","",③T11_ルーム情報!B248)</f>
        <v/>
      </c>
      <c r="C248" s="1" t="str">
        <f>IF(③T11_ルーム情報!C248="","",③T11_ルーム情報!C248)</f>
        <v/>
      </c>
      <c r="D248" s="1" t="str">
        <f>IF(③T11_ルーム情報!D248="","",③T11_ルーム情報!D248)</f>
        <v/>
      </c>
      <c r="E248" s="1" t="str">
        <f>IF(③T11_ルーム情報!E248="","",③T11_ルーム情報!E248)</f>
        <v/>
      </c>
      <c r="F248" s="1" t="str">
        <f>IF(③T11_ルーム情報!F248="","",③T11_ルーム情報!F248)</f>
        <v/>
      </c>
    </row>
    <row r="249" spans="1:6" x14ac:dyDescent="0.4">
      <c r="A249" s="1" t="str">
        <f>IF(③T11_ルーム情報!A249="","",③T11_ルーム情報!A249)</f>
        <v/>
      </c>
      <c r="B249" s="1" t="str">
        <f>IF(③T11_ルーム情報!B249="","",③T11_ルーム情報!B249)</f>
        <v/>
      </c>
      <c r="C249" s="1" t="str">
        <f>IF(③T11_ルーム情報!C249="","",③T11_ルーム情報!C249)</f>
        <v/>
      </c>
      <c r="D249" s="1" t="str">
        <f>IF(③T11_ルーム情報!D249="","",③T11_ルーム情報!D249)</f>
        <v/>
      </c>
      <c r="E249" s="1" t="str">
        <f>IF(③T11_ルーム情報!E249="","",③T11_ルーム情報!E249)</f>
        <v/>
      </c>
      <c r="F249" s="1" t="str">
        <f>IF(③T11_ルーム情報!F249="","",③T11_ルーム情報!F249)</f>
        <v/>
      </c>
    </row>
    <row r="250" spans="1:6" x14ac:dyDescent="0.4">
      <c r="A250" s="1" t="str">
        <f>IF(③T11_ルーム情報!A250="","",③T11_ルーム情報!A250)</f>
        <v/>
      </c>
      <c r="B250" s="1" t="str">
        <f>IF(③T11_ルーム情報!B250="","",③T11_ルーム情報!B250)</f>
        <v/>
      </c>
      <c r="C250" s="1" t="str">
        <f>IF(③T11_ルーム情報!C250="","",③T11_ルーム情報!C250)</f>
        <v/>
      </c>
      <c r="D250" s="1" t="str">
        <f>IF(③T11_ルーム情報!D250="","",③T11_ルーム情報!D250)</f>
        <v/>
      </c>
      <c r="E250" s="1" t="str">
        <f>IF(③T11_ルーム情報!E250="","",③T11_ルーム情報!E250)</f>
        <v/>
      </c>
      <c r="F250" s="1" t="str">
        <f>IF(③T11_ルーム情報!F250="","",③T11_ルーム情報!F250)</f>
        <v/>
      </c>
    </row>
    <row r="251" spans="1:6" x14ac:dyDescent="0.4">
      <c r="A251" s="1" t="str">
        <f>IF(③T11_ルーム情報!A251="","",③T11_ルーム情報!A251)</f>
        <v/>
      </c>
      <c r="B251" s="1" t="str">
        <f>IF(③T11_ルーム情報!B251="","",③T11_ルーム情報!B251)</f>
        <v/>
      </c>
      <c r="C251" s="1" t="str">
        <f>IF(③T11_ルーム情報!C251="","",③T11_ルーム情報!C251)</f>
        <v/>
      </c>
      <c r="D251" s="1" t="str">
        <f>IF(③T11_ルーム情報!D251="","",③T11_ルーム情報!D251)</f>
        <v/>
      </c>
      <c r="E251" s="1" t="str">
        <f>IF(③T11_ルーム情報!E251="","",③T11_ルーム情報!E251)</f>
        <v/>
      </c>
      <c r="F251" s="1" t="str">
        <f>IF(③T11_ルーム情報!F251="","",③T11_ルーム情報!F251)</f>
        <v/>
      </c>
    </row>
    <row r="252" spans="1:6" x14ac:dyDescent="0.4">
      <c r="A252" s="1" t="str">
        <f>IF(③T11_ルーム情報!A252="","",③T11_ルーム情報!A252)</f>
        <v/>
      </c>
      <c r="B252" s="1" t="str">
        <f>IF(③T11_ルーム情報!B252="","",③T11_ルーム情報!B252)</f>
        <v/>
      </c>
      <c r="C252" s="1" t="str">
        <f>IF(③T11_ルーム情報!C252="","",③T11_ルーム情報!C252)</f>
        <v/>
      </c>
      <c r="D252" s="1" t="str">
        <f>IF(③T11_ルーム情報!D252="","",③T11_ルーム情報!D252)</f>
        <v/>
      </c>
      <c r="E252" s="1" t="str">
        <f>IF(③T11_ルーム情報!E252="","",③T11_ルーム情報!E252)</f>
        <v/>
      </c>
      <c r="F252" s="1" t="str">
        <f>IF(③T11_ルーム情報!F252="","",③T11_ルーム情報!F252)</f>
        <v/>
      </c>
    </row>
    <row r="253" spans="1:6" x14ac:dyDescent="0.4">
      <c r="A253" s="1" t="str">
        <f>IF(③T11_ルーム情報!A253="","",③T11_ルーム情報!A253)</f>
        <v/>
      </c>
      <c r="B253" s="1" t="str">
        <f>IF(③T11_ルーム情報!B253="","",③T11_ルーム情報!B253)</f>
        <v/>
      </c>
      <c r="C253" s="1" t="str">
        <f>IF(③T11_ルーム情報!C253="","",③T11_ルーム情報!C253)</f>
        <v/>
      </c>
      <c r="D253" s="1" t="str">
        <f>IF(③T11_ルーム情報!D253="","",③T11_ルーム情報!D253)</f>
        <v/>
      </c>
      <c r="E253" s="1" t="str">
        <f>IF(③T11_ルーム情報!E253="","",③T11_ルーム情報!E253)</f>
        <v/>
      </c>
      <c r="F253" s="1" t="str">
        <f>IF(③T11_ルーム情報!F253="","",③T11_ルーム情報!F253)</f>
        <v/>
      </c>
    </row>
    <row r="254" spans="1:6" x14ac:dyDescent="0.4">
      <c r="A254" s="1" t="str">
        <f>IF(③T11_ルーム情報!A254="","",③T11_ルーム情報!A254)</f>
        <v/>
      </c>
      <c r="B254" s="1" t="str">
        <f>IF(③T11_ルーム情報!B254="","",③T11_ルーム情報!B254)</f>
        <v/>
      </c>
      <c r="C254" s="1" t="str">
        <f>IF(③T11_ルーム情報!C254="","",③T11_ルーム情報!C254)</f>
        <v/>
      </c>
      <c r="D254" s="1" t="str">
        <f>IF(③T11_ルーム情報!D254="","",③T11_ルーム情報!D254)</f>
        <v/>
      </c>
      <c r="E254" s="1" t="str">
        <f>IF(③T11_ルーム情報!E254="","",③T11_ルーム情報!E254)</f>
        <v/>
      </c>
      <c r="F254" s="1" t="str">
        <f>IF(③T11_ルーム情報!F254="","",③T11_ルーム情報!F254)</f>
        <v/>
      </c>
    </row>
    <row r="255" spans="1:6" x14ac:dyDescent="0.4">
      <c r="A255" s="1" t="str">
        <f>IF(③T11_ルーム情報!A255="","",③T11_ルーム情報!A255)</f>
        <v/>
      </c>
      <c r="B255" s="1" t="str">
        <f>IF(③T11_ルーム情報!B255="","",③T11_ルーム情報!B255)</f>
        <v/>
      </c>
      <c r="C255" s="1" t="str">
        <f>IF(③T11_ルーム情報!C255="","",③T11_ルーム情報!C255)</f>
        <v/>
      </c>
      <c r="D255" s="1" t="str">
        <f>IF(③T11_ルーム情報!D255="","",③T11_ルーム情報!D255)</f>
        <v/>
      </c>
      <c r="E255" s="1" t="str">
        <f>IF(③T11_ルーム情報!E255="","",③T11_ルーム情報!E255)</f>
        <v/>
      </c>
      <c r="F255" s="1" t="str">
        <f>IF(③T11_ルーム情報!F255="","",③T11_ルーム情報!F255)</f>
        <v/>
      </c>
    </row>
    <row r="256" spans="1:6" x14ac:dyDescent="0.4">
      <c r="A256" s="1" t="str">
        <f>IF(③T11_ルーム情報!A256="","",③T11_ルーム情報!A256)</f>
        <v/>
      </c>
      <c r="B256" s="1" t="str">
        <f>IF(③T11_ルーム情報!B256="","",③T11_ルーム情報!B256)</f>
        <v/>
      </c>
      <c r="C256" s="1" t="str">
        <f>IF(③T11_ルーム情報!C256="","",③T11_ルーム情報!C256)</f>
        <v/>
      </c>
      <c r="D256" s="1" t="str">
        <f>IF(③T11_ルーム情報!D256="","",③T11_ルーム情報!D256)</f>
        <v/>
      </c>
      <c r="E256" s="1" t="str">
        <f>IF(③T11_ルーム情報!E256="","",③T11_ルーム情報!E256)</f>
        <v/>
      </c>
      <c r="F256" s="1" t="str">
        <f>IF(③T11_ルーム情報!F256="","",③T11_ルーム情報!F256)</f>
        <v/>
      </c>
    </row>
    <row r="257" spans="1:6" x14ac:dyDescent="0.4">
      <c r="A257" s="1" t="str">
        <f>IF(③T11_ルーム情報!A257="","",③T11_ルーム情報!A257)</f>
        <v/>
      </c>
      <c r="B257" s="1" t="str">
        <f>IF(③T11_ルーム情報!B257="","",③T11_ルーム情報!B257)</f>
        <v/>
      </c>
      <c r="C257" s="1" t="str">
        <f>IF(③T11_ルーム情報!C257="","",③T11_ルーム情報!C257)</f>
        <v/>
      </c>
      <c r="D257" s="1" t="str">
        <f>IF(③T11_ルーム情報!D257="","",③T11_ルーム情報!D257)</f>
        <v/>
      </c>
      <c r="E257" s="1" t="str">
        <f>IF(③T11_ルーム情報!E257="","",③T11_ルーム情報!E257)</f>
        <v/>
      </c>
      <c r="F257" s="1" t="str">
        <f>IF(③T11_ルーム情報!F257="","",③T11_ルーム情報!F257)</f>
        <v/>
      </c>
    </row>
    <row r="258" spans="1:6" x14ac:dyDescent="0.4">
      <c r="A258" s="1" t="str">
        <f>IF(③T11_ルーム情報!A258="","",③T11_ルーム情報!A258)</f>
        <v/>
      </c>
      <c r="B258" s="1" t="str">
        <f>IF(③T11_ルーム情報!B258="","",③T11_ルーム情報!B258)</f>
        <v/>
      </c>
      <c r="C258" s="1" t="str">
        <f>IF(③T11_ルーム情報!C258="","",③T11_ルーム情報!C258)</f>
        <v/>
      </c>
      <c r="D258" s="1" t="str">
        <f>IF(③T11_ルーム情報!D258="","",③T11_ルーム情報!D258)</f>
        <v/>
      </c>
      <c r="E258" s="1" t="str">
        <f>IF(③T11_ルーム情報!E258="","",③T11_ルーム情報!E258)</f>
        <v/>
      </c>
      <c r="F258" s="1" t="str">
        <f>IF(③T11_ルーム情報!F258="","",③T11_ルーム情報!F258)</f>
        <v/>
      </c>
    </row>
    <row r="259" spans="1:6" x14ac:dyDescent="0.4">
      <c r="A259" s="1" t="str">
        <f>IF(③T11_ルーム情報!A259="","",③T11_ルーム情報!A259)</f>
        <v/>
      </c>
      <c r="B259" s="1" t="str">
        <f>IF(③T11_ルーム情報!B259="","",③T11_ルーム情報!B259)</f>
        <v/>
      </c>
      <c r="C259" s="1" t="str">
        <f>IF(③T11_ルーム情報!C259="","",③T11_ルーム情報!C259)</f>
        <v/>
      </c>
      <c r="D259" s="1" t="str">
        <f>IF(③T11_ルーム情報!D259="","",③T11_ルーム情報!D259)</f>
        <v/>
      </c>
      <c r="E259" s="1" t="str">
        <f>IF(③T11_ルーム情報!E259="","",③T11_ルーム情報!E259)</f>
        <v/>
      </c>
      <c r="F259" s="1" t="str">
        <f>IF(③T11_ルーム情報!F259="","",③T11_ルーム情報!F259)</f>
        <v/>
      </c>
    </row>
    <row r="260" spans="1:6" x14ac:dyDescent="0.4">
      <c r="A260" s="1" t="str">
        <f>IF(③T11_ルーム情報!A260="","",③T11_ルーム情報!A260)</f>
        <v/>
      </c>
      <c r="B260" s="1" t="str">
        <f>IF(③T11_ルーム情報!B260="","",③T11_ルーム情報!B260)</f>
        <v/>
      </c>
      <c r="C260" s="1" t="str">
        <f>IF(③T11_ルーム情報!C260="","",③T11_ルーム情報!C260)</f>
        <v/>
      </c>
      <c r="D260" s="1" t="str">
        <f>IF(③T11_ルーム情報!D260="","",③T11_ルーム情報!D260)</f>
        <v/>
      </c>
      <c r="E260" s="1" t="str">
        <f>IF(③T11_ルーム情報!E260="","",③T11_ルーム情報!E260)</f>
        <v/>
      </c>
      <c r="F260" s="1" t="str">
        <f>IF(③T11_ルーム情報!F260="","",③T11_ルーム情報!F260)</f>
        <v/>
      </c>
    </row>
  </sheetData>
  <phoneticPr fontId="2"/>
  <printOptions gridLines="1"/>
  <pageMargins left="0.23622047244094491" right="0.23622047244094491" top="0.35433070866141736" bottom="0.35433070866141736" header="0.31496062992125984" footer="0.31496062992125984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78D6A-15A7-48BF-8E11-78DFDD640702}">
  <dimension ref="A1:Z259"/>
  <sheetViews>
    <sheetView zoomScale="130" zoomScaleNormal="13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14" sqref="H14"/>
    </sheetView>
  </sheetViews>
  <sheetFormatPr defaultRowHeight="16.5" x14ac:dyDescent="0.4"/>
  <cols>
    <col min="1" max="1" width="9" style="1"/>
    <col min="2" max="2" width="8.375" style="1" customWidth="1"/>
    <col min="3" max="3" width="17.75" style="1" customWidth="1"/>
    <col min="4" max="4" width="6.25" style="1" customWidth="1"/>
    <col min="5" max="5" width="3.75" style="1" customWidth="1"/>
    <col min="6" max="6" width="11.375" style="1" customWidth="1"/>
    <col min="7" max="8" width="9" style="1"/>
    <col min="9" max="9" width="1.875" style="1" customWidth="1"/>
    <col min="10" max="10" width="5.625" style="1" customWidth="1"/>
    <col min="11" max="11" width="10" style="1" customWidth="1"/>
    <col min="12" max="15" width="5.625" style="1" customWidth="1"/>
    <col min="16" max="16" width="9" style="1"/>
    <col min="17" max="25" width="5.125" style="7" customWidth="1"/>
    <col min="26" max="26" width="5.875" style="7" bestFit="1" customWidth="1"/>
    <col min="27" max="16384" width="9" style="1"/>
  </cols>
  <sheetData>
    <row r="1" spans="1:26" ht="66" x14ac:dyDescent="0.4">
      <c r="A1" s="1" t="s">
        <v>0</v>
      </c>
      <c r="B1" s="2" t="s">
        <v>1</v>
      </c>
      <c r="C1" s="2" t="s">
        <v>2</v>
      </c>
      <c r="D1" s="4" t="s">
        <v>3</v>
      </c>
      <c r="E1" s="5" t="s">
        <v>258</v>
      </c>
      <c r="F1" s="6" t="s">
        <v>259</v>
      </c>
      <c r="J1" s="1" t="s">
        <v>260</v>
      </c>
      <c r="K1" s="1" t="s">
        <v>2</v>
      </c>
      <c r="L1" s="1" t="s">
        <v>261</v>
      </c>
      <c r="M1" s="1" t="s">
        <v>262</v>
      </c>
      <c r="N1" s="1" t="s">
        <v>263</v>
      </c>
      <c r="O1" s="1" t="s">
        <v>260</v>
      </c>
      <c r="Q1" s="10" t="s">
        <v>465</v>
      </c>
      <c r="R1" s="10" t="s">
        <v>466</v>
      </c>
      <c r="S1" s="10" t="s">
        <v>467</v>
      </c>
      <c r="T1" s="10" t="s">
        <v>472</v>
      </c>
      <c r="U1" s="10" t="s">
        <v>473</v>
      </c>
      <c r="V1" s="11" t="s">
        <v>436</v>
      </c>
      <c r="W1" s="10" t="s">
        <v>469</v>
      </c>
      <c r="X1" s="10" t="s">
        <v>470</v>
      </c>
      <c r="Y1" s="10" t="s">
        <v>471</v>
      </c>
      <c r="Z1" s="12" t="s">
        <v>474</v>
      </c>
    </row>
    <row r="2" spans="1:26" ht="9" customHeight="1" x14ac:dyDescent="0.4">
      <c r="B2" s="1" t="s">
        <v>196</v>
      </c>
      <c r="C2" s="1" t="s">
        <v>4</v>
      </c>
      <c r="D2" s="1" t="s">
        <v>5</v>
      </c>
      <c r="E2" s="1">
        <v>15</v>
      </c>
      <c r="F2" s="1" t="s">
        <v>6</v>
      </c>
      <c r="H2" s="1">
        <f t="shared" ref="H2:H33" si="0">COUNTIF($B:$B,J2)</f>
        <v>7</v>
      </c>
      <c r="I2" s="1" t="str">
        <f>IF(H2=N2,"〇","×")</f>
        <v>〇</v>
      </c>
      <c r="J2" s="1" t="s">
        <v>196</v>
      </c>
      <c r="K2" s="1" t="s">
        <v>4</v>
      </c>
      <c r="L2" s="1" t="s">
        <v>264</v>
      </c>
      <c r="M2" s="1" t="s">
        <v>265</v>
      </c>
      <c r="N2" s="1">
        <v>7</v>
      </c>
      <c r="O2" s="1" t="s">
        <v>196</v>
      </c>
      <c r="Q2" s="13" t="s">
        <v>475</v>
      </c>
      <c r="R2" s="13"/>
      <c r="S2" s="13"/>
      <c r="T2" s="13"/>
      <c r="U2" s="13"/>
      <c r="V2" s="13"/>
      <c r="W2" s="13"/>
      <c r="X2" s="13"/>
      <c r="Y2" s="13"/>
      <c r="Z2" s="15"/>
    </row>
    <row r="3" spans="1:26" ht="9" customHeight="1" x14ac:dyDescent="0.4">
      <c r="B3" s="1" t="s">
        <v>196</v>
      </c>
      <c r="C3" s="1" t="s">
        <v>4</v>
      </c>
      <c r="D3" s="1" t="s">
        <v>7</v>
      </c>
      <c r="E3" s="1">
        <v>8</v>
      </c>
      <c r="F3" s="1" t="s">
        <v>8</v>
      </c>
      <c r="H3" s="1">
        <f t="shared" si="0"/>
        <v>2</v>
      </c>
      <c r="I3" s="1" t="str">
        <f t="shared" ref="I3:I66" si="1">IF(H3=N3,"〇","×")</f>
        <v>〇</v>
      </c>
      <c r="J3" s="1" t="s">
        <v>197</v>
      </c>
      <c r="K3" s="1" t="s">
        <v>31</v>
      </c>
      <c r="L3" s="1" t="s">
        <v>266</v>
      </c>
      <c r="M3" s="1" t="s">
        <v>31</v>
      </c>
      <c r="N3" s="1">
        <v>2</v>
      </c>
      <c r="O3" s="1" t="s">
        <v>197</v>
      </c>
      <c r="Q3" s="13"/>
      <c r="R3" s="13"/>
      <c r="S3" s="13"/>
      <c r="T3" s="13"/>
      <c r="U3" s="13"/>
      <c r="V3" s="13"/>
      <c r="W3" s="13"/>
      <c r="X3" s="13"/>
      <c r="Y3" s="13"/>
      <c r="Z3" s="15"/>
    </row>
    <row r="4" spans="1:26" ht="9" customHeight="1" x14ac:dyDescent="0.4">
      <c r="B4" s="1" t="s">
        <v>196</v>
      </c>
      <c r="C4" s="1" t="s">
        <v>4</v>
      </c>
      <c r="D4" s="1" t="s">
        <v>18</v>
      </c>
      <c r="E4" s="1">
        <v>5</v>
      </c>
      <c r="F4" s="1" t="s">
        <v>19</v>
      </c>
      <c r="H4" s="1">
        <f t="shared" si="0"/>
        <v>3</v>
      </c>
      <c r="I4" s="1" t="str">
        <f t="shared" si="1"/>
        <v>〇</v>
      </c>
      <c r="J4" s="1" t="s">
        <v>198</v>
      </c>
      <c r="K4" s="1" t="s">
        <v>33</v>
      </c>
      <c r="L4" s="1" t="s">
        <v>267</v>
      </c>
      <c r="M4" s="1" t="s">
        <v>33</v>
      </c>
      <c r="N4" s="1">
        <v>3</v>
      </c>
      <c r="O4" s="1" t="s">
        <v>198</v>
      </c>
      <c r="Q4" s="13"/>
      <c r="R4" s="13"/>
      <c r="S4" s="13"/>
      <c r="T4" s="13"/>
      <c r="U4" s="13"/>
      <c r="V4" s="13"/>
      <c r="W4" s="13"/>
      <c r="X4" s="13"/>
      <c r="Y4" s="13"/>
      <c r="Z4" s="15"/>
    </row>
    <row r="5" spans="1:26" ht="9" customHeight="1" x14ac:dyDescent="0.4">
      <c r="B5" s="1" t="s">
        <v>196</v>
      </c>
      <c r="C5" s="1" t="s">
        <v>4</v>
      </c>
      <c r="D5" s="1" t="s">
        <v>21</v>
      </c>
      <c r="E5" s="1">
        <v>36</v>
      </c>
      <c r="F5" s="1" t="s">
        <v>22</v>
      </c>
      <c r="H5" s="1">
        <f t="shared" si="0"/>
        <v>3</v>
      </c>
      <c r="I5" s="1" t="str">
        <f t="shared" si="1"/>
        <v>〇</v>
      </c>
      <c r="J5" s="1" t="s">
        <v>199</v>
      </c>
      <c r="K5" s="1" t="s">
        <v>37</v>
      </c>
      <c r="L5" s="1" t="s">
        <v>268</v>
      </c>
      <c r="M5" s="1" t="s">
        <v>269</v>
      </c>
      <c r="N5" s="1">
        <v>3</v>
      </c>
      <c r="O5" s="1" t="s">
        <v>199</v>
      </c>
      <c r="Q5" s="13"/>
      <c r="R5" s="13"/>
      <c r="S5" s="13"/>
      <c r="T5" s="13"/>
      <c r="U5" s="13"/>
      <c r="V5" s="13"/>
      <c r="W5" s="13"/>
      <c r="X5" s="13"/>
      <c r="Y5" s="13"/>
      <c r="Z5" s="15"/>
    </row>
    <row r="6" spans="1:26" ht="9" customHeight="1" x14ac:dyDescent="0.4">
      <c r="B6" s="1" t="s">
        <v>196</v>
      </c>
      <c r="C6" s="1" t="s">
        <v>4</v>
      </c>
      <c r="D6" s="1" t="s">
        <v>24</v>
      </c>
      <c r="E6" s="1">
        <v>30</v>
      </c>
      <c r="F6" s="1" t="s">
        <v>25</v>
      </c>
      <c r="H6" s="1">
        <f t="shared" si="0"/>
        <v>2</v>
      </c>
      <c r="I6" s="1" t="str">
        <f t="shared" si="1"/>
        <v>〇</v>
      </c>
      <c r="J6" s="1" t="s">
        <v>200</v>
      </c>
      <c r="K6" s="1" t="s">
        <v>39</v>
      </c>
      <c r="L6" s="1" t="s">
        <v>270</v>
      </c>
      <c r="M6" s="1" t="s">
        <v>39</v>
      </c>
      <c r="N6" s="1">
        <v>2</v>
      </c>
      <c r="O6" s="1" t="s">
        <v>200</v>
      </c>
      <c r="Q6" s="13"/>
      <c r="R6" s="13"/>
      <c r="S6" s="13"/>
      <c r="T6" s="13"/>
      <c r="U6" s="13"/>
      <c r="V6" s="13"/>
      <c r="W6" s="13"/>
      <c r="X6" s="13"/>
      <c r="Y6" s="13"/>
      <c r="Z6" s="15"/>
    </row>
    <row r="7" spans="1:26" ht="9" customHeight="1" x14ac:dyDescent="0.4">
      <c r="B7" s="1" t="s">
        <v>196</v>
      </c>
      <c r="C7" s="1" t="s">
        <v>4</v>
      </c>
      <c r="D7" s="1" t="s">
        <v>27</v>
      </c>
      <c r="E7" s="1">
        <v>5</v>
      </c>
      <c r="F7" s="1" t="s">
        <v>28</v>
      </c>
      <c r="H7" s="1">
        <f t="shared" si="0"/>
        <v>1</v>
      </c>
      <c r="I7" s="1" t="str">
        <f t="shared" si="1"/>
        <v>〇</v>
      </c>
      <c r="J7" s="1" t="s">
        <v>201</v>
      </c>
      <c r="K7" s="1" t="s">
        <v>42</v>
      </c>
      <c r="L7" s="1" t="s">
        <v>271</v>
      </c>
      <c r="M7" s="1" t="s">
        <v>272</v>
      </c>
      <c r="N7" s="1">
        <v>1</v>
      </c>
      <c r="O7" s="1" t="s">
        <v>201</v>
      </c>
      <c r="Q7" s="13"/>
      <c r="R7" s="13"/>
      <c r="S7" s="13"/>
      <c r="T7" s="13"/>
      <c r="U7" s="13"/>
      <c r="V7" s="13"/>
      <c r="W7" s="13"/>
      <c r="X7" s="13"/>
      <c r="Y7" s="13"/>
      <c r="Z7" s="15"/>
    </row>
    <row r="8" spans="1:26" ht="9" customHeight="1" x14ac:dyDescent="0.4">
      <c r="B8" s="1" t="s">
        <v>196</v>
      </c>
      <c r="C8" s="1" t="s">
        <v>4</v>
      </c>
      <c r="D8" s="1" t="s">
        <v>29</v>
      </c>
      <c r="E8" s="1">
        <v>6</v>
      </c>
      <c r="F8" s="1" t="s">
        <v>30</v>
      </c>
      <c r="H8" s="1">
        <f t="shared" si="0"/>
        <v>7</v>
      </c>
      <c r="I8" s="1" t="str">
        <f t="shared" si="1"/>
        <v>〇</v>
      </c>
      <c r="J8" s="1" t="s">
        <v>202</v>
      </c>
      <c r="K8" s="1" t="s">
        <v>44</v>
      </c>
      <c r="L8" s="1" t="s">
        <v>273</v>
      </c>
      <c r="M8" s="1" t="s">
        <v>274</v>
      </c>
      <c r="N8" s="1">
        <v>7</v>
      </c>
      <c r="O8" s="1" t="s">
        <v>202</v>
      </c>
      <c r="Q8" s="13"/>
      <c r="R8" s="13"/>
      <c r="S8" s="13"/>
      <c r="T8" s="13"/>
      <c r="U8" s="13"/>
      <c r="V8" s="13"/>
      <c r="W8" s="13"/>
      <c r="X8" s="13"/>
      <c r="Y8" s="13"/>
      <c r="Z8" s="15"/>
    </row>
    <row r="9" spans="1:26" ht="9" customHeight="1" x14ac:dyDescent="0.4">
      <c r="B9" s="1" t="s">
        <v>197</v>
      </c>
      <c r="C9" s="1" t="s">
        <v>31</v>
      </c>
      <c r="D9" s="1" t="s">
        <v>5</v>
      </c>
      <c r="E9" s="1">
        <v>13</v>
      </c>
      <c r="F9" s="1" t="s">
        <v>6</v>
      </c>
      <c r="H9" s="1">
        <f t="shared" si="0"/>
        <v>2</v>
      </c>
      <c r="I9" s="1" t="str">
        <f t="shared" si="1"/>
        <v>〇</v>
      </c>
      <c r="J9" s="1" t="s">
        <v>203</v>
      </c>
      <c r="K9" s="1" t="s">
        <v>52</v>
      </c>
      <c r="L9" s="1" t="s">
        <v>275</v>
      </c>
      <c r="M9" s="1" t="s">
        <v>276</v>
      </c>
      <c r="N9" s="1">
        <v>2</v>
      </c>
      <c r="O9" s="1" t="s">
        <v>203</v>
      </c>
      <c r="Q9" s="13"/>
      <c r="R9" s="13"/>
      <c r="S9" s="13"/>
      <c r="T9" s="13"/>
      <c r="U9" s="13"/>
      <c r="V9" s="13"/>
      <c r="W9" s="13"/>
      <c r="X9" s="13"/>
      <c r="Y9" s="13"/>
      <c r="Z9" s="15"/>
    </row>
    <row r="10" spans="1:26" ht="9" customHeight="1" x14ac:dyDescent="0.4">
      <c r="B10" s="1" t="s">
        <v>197</v>
      </c>
      <c r="C10" s="1" t="s">
        <v>31</v>
      </c>
      <c r="D10" s="1" t="s">
        <v>7</v>
      </c>
      <c r="E10" s="1">
        <v>12</v>
      </c>
      <c r="F10" s="1" t="s">
        <v>25</v>
      </c>
      <c r="H10" s="1">
        <f t="shared" si="0"/>
        <v>2</v>
      </c>
      <c r="I10" s="1" t="str">
        <f t="shared" si="1"/>
        <v>〇</v>
      </c>
      <c r="J10" s="1" t="s">
        <v>204</v>
      </c>
      <c r="K10" s="1" t="s">
        <v>55</v>
      </c>
      <c r="L10" s="1" t="s">
        <v>277</v>
      </c>
      <c r="M10" s="1" t="s">
        <v>55</v>
      </c>
      <c r="N10" s="1">
        <v>2</v>
      </c>
      <c r="O10" s="1" t="s">
        <v>204</v>
      </c>
      <c r="Q10" s="13"/>
      <c r="R10" s="13"/>
      <c r="S10" s="13"/>
      <c r="T10" s="13"/>
      <c r="U10" s="13"/>
      <c r="V10" s="13"/>
      <c r="W10" s="13"/>
      <c r="X10" s="13"/>
      <c r="Y10" s="13"/>
      <c r="Z10" s="15"/>
    </row>
    <row r="11" spans="1:26" ht="9" customHeight="1" x14ac:dyDescent="0.4">
      <c r="B11" s="1" t="s">
        <v>198</v>
      </c>
      <c r="C11" s="1" t="s">
        <v>33</v>
      </c>
      <c r="D11" s="1" t="s">
        <v>5</v>
      </c>
      <c r="E11" s="1">
        <v>14</v>
      </c>
      <c r="F11" s="1" t="s">
        <v>34</v>
      </c>
      <c r="H11" s="1">
        <f t="shared" si="0"/>
        <v>3</v>
      </c>
      <c r="I11" s="1" t="str">
        <f t="shared" si="1"/>
        <v>〇</v>
      </c>
      <c r="J11" s="1" t="s">
        <v>205</v>
      </c>
      <c r="K11" s="1" t="s">
        <v>58</v>
      </c>
      <c r="L11" s="1" t="s">
        <v>278</v>
      </c>
      <c r="M11" s="1" t="s">
        <v>279</v>
      </c>
      <c r="N11" s="1">
        <v>3</v>
      </c>
      <c r="O11" s="1" t="s">
        <v>205</v>
      </c>
      <c r="Q11" s="13"/>
      <c r="R11" s="13"/>
      <c r="S11" s="13"/>
      <c r="T11" s="13"/>
      <c r="U11" s="13"/>
      <c r="V11" s="13"/>
      <c r="W11" s="13"/>
      <c r="X11" s="13"/>
      <c r="Y11" s="13"/>
      <c r="Z11" s="15"/>
    </row>
    <row r="12" spans="1:26" ht="9" customHeight="1" x14ac:dyDescent="0.4">
      <c r="B12" s="1" t="s">
        <v>198</v>
      </c>
      <c r="C12" s="1" t="s">
        <v>33</v>
      </c>
      <c r="D12" s="1" t="s">
        <v>7</v>
      </c>
      <c r="E12" s="1">
        <v>15</v>
      </c>
      <c r="F12" s="1" t="s">
        <v>35</v>
      </c>
      <c r="H12" s="1">
        <f t="shared" si="0"/>
        <v>3</v>
      </c>
      <c r="I12" s="1" t="str">
        <f t="shared" si="1"/>
        <v>〇</v>
      </c>
      <c r="J12" s="1" t="s">
        <v>206</v>
      </c>
      <c r="K12" s="1" t="s">
        <v>62</v>
      </c>
      <c r="L12" s="1" t="s">
        <v>280</v>
      </c>
      <c r="M12" s="1" t="s">
        <v>281</v>
      </c>
      <c r="N12" s="1">
        <v>3</v>
      </c>
      <c r="O12" s="1" t="s">
        <v>206</v>
      </c>
      <c r="Q12" s="13"/>
      <c r="R12" s="13"/>
      <c r="S12" s="13"/>
      <c r="T12" s="13"/>
      <c r="U12" s="13"/>
      <c r="V12" s="13"/>
      <c r="W12" s="13"/>
      <c r="X12" s="13"/>
      <c r="Y12" s="13"/>
      <c r="Z12" s="15"/>
    </row>
    <row r="13" spans="1:26" ht="9" customHeight="1" x14ac:dyDescent="0.4">
      <c r="B13" s="1" t="s">
        <v>198</v>
      </c>
      <c r="C13" s="1" t="s">
        <v>33</v>
      </c>
      <c r="D13" s="1" t="s">
        <v>18</v>
      </c>
      <c r="E13" s="1">
        <v>28</v>
      </c>
      <c r="F13" s="1" t="s">
        <v>36</v>
      </c>
      <c r="H13" s="1">
        <f t="shared" si="0"/>
        <v>2</v>
      </c>
      <c r="I13" s="1" t="str">
        <f t="shared" si="1"/>
        <v>〇</v>
      </c>
      <c r="J13" s="1" t="s">
        <v>207</v>
      </c>
      <c r="K13" s="1" t="s">
        <v>66</v>
      </c>
      <c r="L13" s="1" t="s">
        <v>282</v>
      </c>
      <c r="M13" s="1" t="s">
        <v>283</v>
      </c>
      <c r="N13" s="1">
        <v>2</v>
      </c>
      <c r="O13" s="1" t="s">
        <v>207</v>
      </c>
      <c r="Q13" s="13"/>
      <c r="R13" s="13"/>
      <c r="S13" s="13"/>
      <c r="T13" s="13"/>
      <c r="U13" s="13"/>
      <c r="V13" s="13"/>
      <c r="W13" s="13"/>
      <c r="X13" s="13"/>
      <c r="Y13" s="13"/>
      <c r="Z13" s="15"/>
    </row>
    <row r="14" spans="1:26" ht="9" customHeight="1" x14ac:dyDescent="0.4">
      <c r="B14" s="1" t="s">
        <v>199</v>
      </c>
      <c r="C14" s="1" t="s">
        <v>37</v>
      </c>
      <c r="D14" s="1" t="s">
        <v>5</v>
      </c>
      <c r="E14" s="1">
        <v>20</v>
      </c>
      <c r="F14" s="1" t="s">
        <v>15</v>
      </c>
      <c r="H14" s="1">
        <f t="shared" si="0"/>
        <v>2</v>
      </c>
      <c r="I14" s="1" t="str">
        <f t="shared" si="1"/>
        <v>〇</v>
      </c>
      <c r="J14" s="1" t="s">
        <v>208</v>
      </c>
      <c r="K14" s="1" t="s">
        <v>67</v>
      </c>
      <c r="L14" s="1" t="s">
        <v>284</v>
      </c>
      <c r="M14" s="1" t="s">
        <v>285</v>
      </c>
      <c r="N14" s="1">
        <v>2</v>
      </c>
      <c r="O14" s="1" t="s">
        <v>208</v>
      </c>
      <c r="Q14" s="13"/>
      <c r="R14" s="13"/>
      <c r="S14" s="13"/>
      <c r="T14" s="13"/>
      <c r="U14" s="13"/>
      <c r="V14" s="13"/>
      <c r="W14" s="13"/>
      <c r="X14" s="13"/>
      <c r="Y14" s="13"/>
      <c r="Z14" s="15"/>
    </row>
    <row r="15" spans="1:26" ht="9" customHeight="1" x14ac:dyDescent="0.4">
      <c r="B15" s="1" t="s">
        <v>199</v>
      </c>
      <c r="C15" s="1" t="s">
        <v>37</v>
      </c>
      <c r="D15" s="1" t="s">
        <v>7</v>
      </c>
      <c r="E15" s="1">
        <v>20</v>
      </c>
      <c r="F15" s="1" t="s">
        <v>16</v>
      </c>
      <c r="H15" s="1">
        <f t="shared" si="0"/>
        <v>6</v>
      </c>
      <c r="I15" s="1" t="str">
        <f t="shared" si="1"/>
        <v>〇</v>
      </c>
      <c r="J15" s="1" t="s">
        <v>209</v>
      </c>
      <c r="K15" s="1" t="s">
        <v>70</v>
      </c>
      <c r="L15" s="1" t="s">
        <v>286</v>
      </c>
      <c r="M15" s="1" t="s">
        <v>287</v>
      </c>
      <c r="N15" s="1">
        <v>6</v>
      </c>
      <c r="O15" s="1" t="s">
        <v>209</v>
      </c>
      <c r="Q15" s="13"/>
      <c r="R15" s="13"/>
      <c r="S15" s="13"/>
      <c r="T15" s="13"/>
      <c r="U15" s="13"/>
      <c r="V15" s="13"/>
      <c r="W15" s="13"/>
      <c r="X15" s="13"/>
      <c r="Y15" s="13"/>
      <c r="Z15" s="15"/>
    </row>
    <row r="16" spans="1:26" ht="9" customHeight="1" x14ac:dyDescent="0.4">
      <c r="B16" s="1" t="s">
        <v>199</v>
      </c>
      <c r="C16" s="1" t="s">
        <v>37</v>
      </c>
      <c r="D16" s="1" t="s">
        <v>18</v>
      </c>
      <c r="E16" s="1">
        <v>30</v>
      </c>
      <c r="F16" s="1" t="s">
        <v>38</v>
      </c>
      <c r="H16" s="1">
        <f t="shared" si="0"/>
        <v>1</v>
      </c>
      <c r="I16" s="1" t="str">
        <f t="shared" si="1"/>
        <v>〇</v>
      </c>
      <c r="J16" s="1" t="s">
        <v>210</v>
      </c>
      <c r="K16" s="1" t="s">
        <v>77</v>
      </c>
      <c r="L16" s="1" t="s">
        <v>288</v>
      </c>
      <c r="M16" s="1" t="s">
        <v>289</v>
      </c>
      <c r="N16" s="1">
        <v>1</v>
      </c>
      <c r="O16" s="1" t="s">
        <v>210</v>
      </c>
      <c r="Q16" s="13"/>
      <c r="R16" s="13"/>
      <c r="S16" s="13"/>
      <c r="T16" s="13"/>
      <c r="U16" s="13"/>
      <c r="V16" s="13"/>
      <c r="W16" s="13"/>
      <c r="X16" s="13"/>
      <c r="Y16" s="13"/>
      <c r="Z16" s="15"/>
    </row>
    <row r="17" spans="2:26" ht="9" customHeight="1" x14ac:dyDescent="0.4">
      <c r="B17" s="1" t="s">
        <v>200</v>
      </c>
      <c r="C17" s="1" t="s">
        <v>39</v>
      </c>
      <c r="D17" s="1" t="s">
        <v>5</v>
      </c>
      <c r="E17" s="1">
        <v>22</v>
      </c>
      <c r="F17" s="1" t="s">
        <v>40</v>
      </c>
      <c r="H17" s="1">
        <f t="shared" si="0"/>
        <v>5</v>
      </c>
      <c r="I17" s="1" t="str">
        <f t="shared" si="1"/>
        <v>〇</v>
      </c>
      <c r="J17" s="1" t="s">
        <v>211</v>
      </c>
      <c r="K17" s="1" t="s">
        <v>79</v>
      </c>
      <c r="L17" s="1" t="s">
        <v>290</v>
      </c>
      <c r="M17" s="1" t="s">
        <v>291</v>
      </c>
      <c r="N17" s="1">
        <v>5</v>
      </c>
      <c r="O17" s="1" t="s">
        <v>211</v>
      </c>
      <c r="Q17" s="13"/>
      <c r="R17" s="13"/>
      <c r="S17" s="13"/>
      <c r="T17" s="13"/>
      <c r="U17" s="13"/>
      <c r="V17" s="13"/>
      <c r="W17" s="13"/>
      <c r="X17" s="13"/>
      <c r="Y17" s="13"/>
      <c r="Z17" s="15"/>
    </row>
    <row r="18" spans="2:26" ht="9" customHeight="1" x14ac:dyDescent="0.4">
      <c r="B18" s="1" t="s">
        <v>200</v>
      </c>
      <c r="C18" s="1" t="s">
        <v>39</v>
      </c>
      <c r="D18" s="1" t="s">
        <v>7</v>
      </c>
      <c r="E18" s="1">
        <v>16</v>
      </c>
      <c r="F18" s="1" t="s">
        <v>41</v>
      </c>
      <c r="H18" s="1">
        <f t="shared" si="0"/>
        <v>2</v>
      </c>
      <c r="I18" s="1" t="str">
        <f t="shared" si="1"/>
        <v>〇</v>
      </c>
      <c r="J18" s="1" t="s">
        <v>212</v>
      </c>
      <c r="K18" s="1" t="s">
        <v>85</v>
      </c>
      <c r="L18" s="1" t="s">
        <v>292</v>
      </c>
      <c r="M18" s="1" t="s">
        <v>293</v>
      </c>
      <c r="N18" s="1">
        <v>2</v>
      </c>
      <c r="O18" s="1" t="s">
        <v>212</v>
      </c>
      <c r="Q18" s="13"/>
      <c r="R18" s="13"/>
      <c r="S18" s="13"/>
      <c r="T18" s="13"/>
      <c r="U18" s="13"/>
      <c r="V18" s="13"/>
      <c r="W18" s="13"/>
      <c r="X18" s="13"/>
      <c r="Y18" s="13"/>
      <c r="Z18" s="15"/>
    </row>
    <row r="19" spans="2:26" ht="9" customHeight="1" x14ac:dyDescent="0.4">
      <c r="B19" s="1" t="s">
        <v>201</v>
      </c>
      <c r="C19" s="1" t="s">
        <v>42</v>
      </c>
      <c r="D19" s="1" t="s">
        <v>5</v>
      </c>
      <c r="E19" s="1">
        <v>12</v>
      </c>
      <c r="F19" s="1" t="s">
        <v>43</v>
      </c>
      <c r="H19" s="1">
        <f t="shared" si="0"/>
        <v>2</v>
      </c>
      <c r="I19" s="1" t="str">
        <f t="shared" si="1"/>
        <v>〇</v>
      </c>
      <c r="J19" s="1" t="s">
        <v>213</v>
      </c>
      <c r="K19" s="1" t="s">
        <v>87</v>
      </c>
      <c r="L19" s="1" t="s">
        <v>294</v>
      </c>
      <c r="M19" s="1" t="s">
        <v>295</v>
      </c>
      <c r="N19" s="1">
        <v>2</v>
      </c>
      <c r="O19" s="1" t="s">
        <v>213</v>
      </c>
      <c r="Q19" s="13"/>
      <c r="R19" s="13"/>
      <c r="S19" s="13"/>
      <c r="T19" s="13"/>
      <c r="U19" s="13"/>
      <c r="V19" s="13"/>
      <c r="W19" s="13"/>
      <c r="X19" s="13"/>
      <c r="Y19" s="13"/>
      <c r="Z19" s="15"/>
    </row>
    <row r="20" spans="2:26" ht="9" customHeight="1" x14ac:dyDescent="0.4">
      <c r="B20" s="1" t="s">
        <v>202</v>
      </c>
      <c r="C20" s="1" t="s">
        <v>44</v>
      </c>
      <c r="D20" s="1" t="s">
        <v>5</v>
      </c>
      <c r="E20" s="1">
        <v>30</v>
      </c>
      <c r="F20" s="1" t="s">
        <v>45</v>
      </c>
      <c r="H20" s="1">
        <f t="shared" si="0"/>
        <v>1</v>
      </c>
      <c r="I20" s="1" t="str">
        <f t="shared" si="1"/>
        <v>〇</v>
      </c>
      <c r="J20" s="1" t="s">
        <v>214</v>
      </c>
      <c r="K20" s="1" t="s">
        <v>89</v>
      </c>
      <c r="L20" s="1" t="s">
        <v>296</v>
      </c>
      <c r="M20" s="1" t="s">
        <v>297</v>
      </c>
      <c r="N20" s="1">
        <v>1</v>
      </c>
      <c r="O20" s="1" t="s">
        <v>214</v>
      </c>
      <c r="Q20" s="13"/>
      <c r="R20" s="13"/>
      <c r="S20" s="13"/>
      <c r="T20" s="13"/>
      <c r="U20" s="13"/>
      <c r="V20" s="13"/>
      <c r="W20" s="13"/>
      <c r="X20" s="13"/>
      <c r="Y20" s="13"/>
      <c r="Z20" s="15"/>
    </row>
    <row r="21" spans="2:26" ht="9" customHeight="1" x14ac:dyDescent="0.4">
      <c r="B21" s="1" t="s">
        <v>202</v>
      </c>
      <c r="C21" s="1" t="s">
        <v>44</v>
      </c>
      <c r="D21" s="1" t="s">
        <v>7</v>
      </c>
      <c r="E21" s="1">
        <v>8</v>
      </c>
      <c r="F21" s="1" t="s">
        <v>46</v>
      </c>
      <c r="H21" s="1">
        <f t="shared" si="0"/>
        <v>2</v>
      </c>
      <c r="I21" s="1" t="str">
        <f t="shared" si="1"/>
        <v>〇</v>
      </c>
      <c r="J21" s="1" t="s">
        <v>215</v>
      </c>
      <c r="K21" s="1" t="s">
        <v>90</v>
      </c>
      <c r="L21" s="1" t="s">
        <v>298</v>
      </c>
      <c r="M21" s="1" t="s">
        <v>90</v>
      </c>
      <c r="N21" s="1">
        <v>2</v>
      </c>
      <c r="O21" s="1" t="s">
        <v>215</v>
      </c>
      <c r="Q21" s="13"/>
      <c r="R21" s="13"/>
      <c r="S21" s="13"/>
      <c r="T21" s="13"/>
      <c r="U21" s="13"/>
      <c r="V21" s="13"/>
      <c r="W21" s="13"/>
      <c r="X21" s="13"/>
      <c r="Y21" s="13"/>
      <c r="Z21" s="15"/>
    </row>
    <row r="22" spans="2:26" ht="9" customHeight="1" x14ac:dyDescent="0.4">
      <c r="B22" s="1" t="s">
        <v>202</v>
      </c>
      <c r="C22" s="1" t="s">
        <v>44</v>
      </c>
      <c r="D22" s="1" t="s">
        <v>18</v>
      </c>
      <c r="E22" s="1">
        <v>20</v>
      </c>
      <c r="F22" s="1" t="s">
        <v>47</v>
      </c>
      <c r="H22" s="1">
        <f t="shared" si="0"/>
        <v>3</v>
      </c>
      <c r="I22" s="1" t="str">
        <f t="shared" si="1"/>
        <v>〇</v>
      </c>
      <c r="J22" s="1" t="s">
        <v>216</v>
      </c>
      <c r="K22" s="1" t="s">
        <v>92</v>
      </c>
      <c r="L22" s="1" t="s">
        <v>299</v>
      </c>
      <c r="M22" s="1" t="s">
        <v>300</v>
      </c>
      <c r="N22" s="1">
        <v>3</v>
      </c>
      <c r="O22" s="1" t="s">
        <v>216</v>
      </c>
      <c r="Q22" s="13"/>
      <c r="R22" s="13"/>
      <c r="S22" s="13"/>
      <c r="T22" s="13"/>
      <c r="U22" s="13"/>
      <c r="V22" s="13"/>
      <c r="W22" s="13"/>
      <c r="X22" s="13"/>
      <c r="Y22" s="13"/>
      <c r="Z22" s="15"/>
    </row>
    <row r="23" spans="2:26" ht="9" customHeight="1" x14ac:dyDescent="0.4">
      <c r="B23" s="1" t="s">
        <v>202</v>
      </c>
      <c r="C23" s="1" t="s">
        <v>44</v>
      </c>
      <c r="D23" s="1" t="s">
        <v>21</v>
      </c>
      <c r="E23" s="1">
        <v>33</v>
      </c>
      <c r="F23" s="1" t="s">
        <v>48</v>
      </c>
      <c r="H23" s="1">
        <f t="shared" si="0"/>
        <v>1</v>
      </c>
      <c r="I23" s="1" t="str">
        <f t="shared" si="1"/>
        <v>〇</v>
      </c>
      <c r="J23" s="1" t="s">
        <v>217</v>
      </c>
      <c r="K23" s="1" t="s">
        <v>95</v>
      </c>
      <c r="L23" s="1" t="s">
        <v>301</v>
      </c>
      <c r="M23" s="1" t="s">
        <v>95</v>
      </c>
      <c r="N23" s="1">
        <v>1</v>
      </c>
      <c r="O23" s="1" t="s">
        <v>217</v>
      </c>
      <c r="Q23" s="13"/>
      <c r="R23" s="13"/>
      <c r="S23" s="13"/>
      <c r="T23" s="13"/>
      <c r="U23" s="13"/>
      <c r="V23" s="13"/>
      <c r="W23" s="13"/>
      <c r="X23" s="13"/>
      <c r="Y23" s="13"/>
      <c r="Z23" s="15"/>
    </row>
    <row r="24" spans="2:26" ht="9" customHeight="1" x14ac:dyDescent="0.4">
      <c r="B24" s="1" t="s">
        <v>202</v>
      </c>
      <c r="C24" s="1" t="s">
        <v>44</v>
      </c>
      <c r="D24" s="1" t="s">
        <v>24</v>
      </c>
      <c r="E24" s="1">
        <v>2</v>
      </c>
      <c r="F24" s="1" t="s">
        <v>49</v>
      </c>
      <c r="H24" s="1">
        <f t="shared" si="0"/>
        <v>2</v>
      </c>
      <c r="I24" s="1" t="str">
        <f t="shared" si="1"/>
        <v>〇</v>
      </c>
      <c r="J24" s="1" t="s">
        <v>218</v>
      </c>
      <c r="K24" s="1" t="s">
        <v>96</v>
      </c>
      <c r="L24" s="1" t="s">
        <v>302</v>
      </c>
      <c r="M24" s="1" t="s">
        <v>303</v>
      </c>
      <c r="N24" s="1">
        <v>2</v>
      </c>
      <c r="O24" s="1" t="s">
        <v>218</v>
      </c>
      <c r="Q24" s="13"/>
      <c r="R24" s="13"/>
      <c r="S24" s="13"/>
      <c r="T24" s="13"/>
      <c r="U24" s="13"/>
      <c r="V24" s="13"/>
      <c r="W24" s="13"/>
      <c r="X24" s="13"/>
      <c r="Y24" s="13"/>
      <c r="Z24" s="15"/>
    </row>
    <row r="25" spans="2:26" ht="9" customHeight="1" x14ac:dyDescent="0.4">
      <c r="B25" s="1" t="s">
        <v>202</v>
      </c>
      <c r="C25" s="1" t="s">
        <v>44</v>
      </c>
      <c r="D25" s="1" t="s">
        <v>27</v>
      </c>
      <c r="E25" s="1">
        <v>12</v>
      </c>
      <c r="F25" s="1" t="s">
        <v>50</v>
      </c>
      <c r="H25" s="1">
        <f t="shared" si="0"/>
        <v>1</v>
      </c>
      <c r="I25" s="1" t="str">
        <f t="shared" si="1"/>
        <v>〇</v>
      </c>
      <c r="J25" s="1" t="s">
        <v>219</v>
      </c>
      <c r="K25" s="1" t="s">
        <v>97</v>
      </c>
      <c r="L25" s="1" t="s">
        <v>304</v>
      </c>
      <c r="M25" s="1" t="s">
        <v>305</v>
      </c>
      <c r="N25" s="1">
        <v>1</v>
      </c>
      <c r="O25" s="1" t="s">
        <v>219</v>
      </c>
      <c r="Q25" s="13"/>
      <c r="R25" s="13"/>
      <c r="S25" s="13"/>
      <c r="T25" s="13"/>
      <c r="U25" s="13"/>
      <c r="V25" s="13"/>
      <c r="W25" s="13"/>
      <c r="X25" s="13"/>
      <c r="Y25" s="13"/>
      <c r="Z25" s="15"/>
    </row>
    <row r="26" spans="2:26" ht="9" customHeight="1" x14ac:dyDescent="0.4">
      <c r="B26" s="1" t="s">
        <v>202</v>
      </c>
      <c r="C26" s="1" t="s">
        <v>44</v>
      </c>
      <c r="D26" s="1" t="s">
        <v>29</v>
      </c>
      <c r="E26" s="1">
        <v>12</v>
      </c>
      <c r="F26" s="1" t="s">
        <v>51</v>
      </c>
      <c r="H26" s="1">
        <f t="shared" si="0"/>
        <v>1</v>
      </c>
      <c r="I26" s="1" t="str">
        <f t="shared" si="1"/>
        <v>〇</v>
      </c>
      <c r="J26" s="1" t="s">
        <v>220</v>
      </c>
      <c r="K26" s="1" t="s">
        <v>98</v>
      </c>
      <c r="L26" s="1" t="s">
        <v>306</v>
      </c>
      <c r="M26" s="1" t="s">
        <v>307</v>
      </c>
      <c r="N26" s="1">
        <v>1</v>
      </c>
      <c r="O26" s="1" t="s">
        <v>220</v>
      </c>
      <c r="Q26" s="13"/>
      <c r="R26" s="13"/>
      <c r="S26" s="13"/>
      <c r="T26" s="13"/>
      <c r="U26" s="13"/>
      <c r="V26" s="13"/>
      <c r="W26" s="13"/>
      <c r="X26" s="13"/>
      <c r="Y26" s="13"/>
      <c r="Z26" s="15"/>
    </row>
    <row r="27" spans="2:26" ht="9" customHeight="1" x14ac:dyDescent="0.4">
      <c r="B27" s="1" t="s">
        <v>203</v>
      </c>
      <c r="C27" s="1" t="s">
        <v>52</v>
      </c>
      <c r="D27" s="1" t="s">
        <v>5</v>
      </c>
      <c r="E27" s="1">
        <v>13</v>
      </c>
      <c r="F27" s="1" t="s">
        <v>53</v>
      </c>
      <c r="H27" s="1">
        <f t="shared" si="0"/>
        <v>1</v>
      </c>
      <c r="I27" s="1" t="str">
        <f t="shared" si="1"/>
        <v>〇</v>
      </c>
      <c r="J27" s="1" t="s">
        <v>221</v>
      </c>
      <c r="K27" s="1" t="s">
        <v>99</v>
      </c>
      <c r="L27" s="1" t="s">
        <v>308</v>
      </c>
      <c r="M27" s="1" t="s">
        <v>309</v>
      </c>
      <c r="N27" s="1">
        <v>1</v>
      </c>
      <c r="O27" s="1" t="s">
        <v>221</v>
      </c>
      <c r="Q27" s="13"/>
      <c r="R27" s="13"/>
      <c r="S27" s="13"/>
      <c r="T27" s="13"/>
      <c r="U27" s="13"/>
      <c r="V27" s="13"/>
      <c r="W27" s="13"/>
      <c r="X27" s="13"/>
      <c r="Y27" s="13"/>
      <c r="Z27" s="15"/>
    </row>
    <row r="28" spans="2:26" ht="9" customHeight="1" x14ac:dyDescent="0.4">
      <c r="B28" s="1" t="s">
        <v>203</v>
      </c>
      <c r="C28" s="1" t="s">
        <v>52</v>
      </c>
      <c r="D28" s="1" t="s">
        <v>7</v>
      </c>
      <c r="E28" s="1">
        <v>13</v>
      </c>
      <c r="F28" s="1" t="s">
        <v>54</v>
      </c>
      <c r="H28" s="1">
        <f t="shared" si="0"/>
        <v>1</v>
      </c>
      <c r="I28" s="1" t="str">
        <f t="shared" si="1"/>
        <v>〇</v>
      </c>
      <c r="J28" s="1" t="s">
        <v>222</v>
      </c>
      <c r="K28" s="1" t="s">
        <v>100</v>
      </c>
      <c r="L28" s="1" t="s">
        <v>310</v>
      </c>
      <c r="M28" s="1" t="s">
        <v>100</v>
      </c>
      <c r="N28" s="1">
        <v>1</v>
      </c>
      <c r="O28" s="1" t="s">
        <v>222</v>
      </c>
      <c r="Q28" s="13"/>
      <c r="R28" s="13"/>
      <c r="S28" s="13"/>
      <c r="T28" s="13"/>
      <c r="U28" s="13"/>
      <c r="V28" s="13"/>
      <c r="W28" s="13"/>
      <c r="X28" s="13"/>
      <c r="Y28" s="13"/>
      <c r="Z28" s="15"/>
    </row>
    <row r="29" spans="2:26" ht="9" customHeight="1" x14ac:dyDescent="0.4">
      <c r="B29" s="1" t="s">
        <v>204</v>
      </c>
      <c r="C29" s="1" t="s">
        <v>55</v>
      </c>
      <c r="D29" s="1" t="s">
        <v>5</v>
      </c>
      <c r="E29" s="1">
        <v>12</v>
      </c>
      <c r="F29" s="1" t="s">
        <v>56</v>
      </c>
      <c r="H29" s="1">
        <f t="shared" si="0"/>
        <v>1</v>
      </c>
      <c r="I29" s="1" t="str">
        <f t="shared" si="1"/>
        <v>〇</v>
      </c>
      <c r="J29" s="1" t="s">
        <v>223</v>
      </c>
      <c r="K29" s="1" t="s">
        <v>101</v>
      </c>
      <c r="L29" s="1" t="s">
        <v>311</v>
      </c>
      <c r="M29" s="1" t="s">
        <v>101</v>
      </c>
      <c r="N29" s="1">
        <v>1</v>
      </c>
      <c r="O29" s="1" t="s">
        <v>223</v>
      </c>
      <c r="Q29" s="13"/>
      <c r="R29" s="13"/>
      <c r="S29" s="13"/>
      <c r="T29" s="13"/>
      <c r="U29" s="13"/>
      <c r="V29" s="13"/>
      <c r="W29" s="13"/>
      <c r="X29" s="13"/>
      <c r="Y29" s="13"/>
      <c r="Z29" s="15"/>
    </row>
    <row r="30" spans="2:26" ht="9" customHeight="1" x14ac:dyDescent="0.4">
      <c r="B30" s="1" t="s">
        <v>204</v>
      </c>
      <c r="C30" s="1" t="s">
        <v>55</v>
      </c>
      <c r="D30" s="1" t="s">
        <v>7</v>
      </c>
      <c r="E30" s="1">
        <v>9</v>
      </c>
      <c r="F30" s="1" t="s">
        <v>57</v>
      </c>
      <c r="H30" s="1">
        <f t="shared" si="0"/>
        <v>2</v>
      </c>
      <c r="I30" s="1" t="str">
        <f t="shared" si="1"/>
        <v>〇</v>
      </c>
      <c r="J30" s="1" t="s">
        <v>224</v>
      </c>
      <c r="K30" s="1" t="s">
        <v>102</v>
      </c>
      <c r="L30" s="1" t="s">
        <v>312</v>
      </c>
      <c r="M30" s="1" t="s">
        <v>102</v>
      </c>
      <c r="N30" s="1">
        <v>2</v>
      </c>
      <c r="O30" s="1" t="s">
        <v>224</v>
      </c>
      <c r="Q30" s="13"/>
      <c r="R30" s="13"/>
      <c r="S30" s="13"/>
      <c r="T30" s="13"/>
      <c r="U30" s="13"/>
      <c r="V30" s="13"/>
      <c r="W30" s="13"/>
      <c r="X30" s="13"/>
      <c r="Y30" s="13"/>
      <c r="Z30" s="15"/>
    </row>
    <row r="31" spans="2:26" ht="9" customHeight="1" x14ac:dyDescent="0.4">
      <c r="B31" s="1" t="s">
        <v>205</v>
      </c>
      <c r="C31" s="1" t="s">
        <v>58</v>
      </c>
      <c r="D31" s="1" t="s">
        <v>5</v>
      </c>
      <c r="E31" s="1">
        <v>12</v>
      </c>
      <c r="F31" s="1" t="s">
        <v>59</v>
      </c>
      <c r="H31" s="1">
        <f t="shared" si="0"/>
        <v>3</v>
      </c>
      <c r="I31" s="1" t="str">
        <f t="shared" si="1"/>
        <v>〇</v>
      </c>
      <c r="J31" s="1" t="s">
        <v>225</v>
      </c>
      <c r="K31" s="1" t="s">
        <v>103</v>
      </c>
      <c r="L31" s="1" t="s">
        <v>313</v>
      </c>
      <c r="M31" s="1" t="s">
        <v>103</v>
      </c>
      <c r="N31" s="1">
        <v>3</v>
      </c>
      <c r="O31" s="1" t="s">
        <v>225</v>
      </c>
      <c r="Q31" s="13"/>
      <c r="R31" s="13"/>
      <c r="S31" s="13"/>
      <c r="T31" s="13"/>
      <c r="U31" s="13"/>
      <c r="V31" s="13"/>
      <c r="W31" s="13"/>
      <c r="X31" s="13"/>
      <c r="Y31" s="13"/>
      <c r="Z31" s="15"/>
    </row>
    <row r="32" spans="2:26" ht="9" customHeight="1" x14ac:dyDescent="0.4">
      <c r="B32" s="1" t="s">
        <v>205</v>
      </c>
      <c r="C32" s="1" t="s">
        <v>58</v>
      </c>
      <c r="D32" s="1" t="s">
        <v>7</v>
      </c>
      <c r="E32" s="1">
        <v>22</v>
      </c>
      <c r="F32" s="1" t="s">
        <v>60</v>
      </c>
      <c r="H32" s="1">
        <f t="shared" si="0"/>
        <v>2</v>
      </c>
      <c r="I32" s="1" t="str">
        <f t="shared" si="1"/>
        <v>〇</v>
      </c>
      <c r="J32" s="1" t="s">
        <v>226</v>
      </c>
      <c r="K32" s="1" t="s">
        <v>105</v>
      </c>
      <c r="L32" s="1" t="s">
        <v>314</v>
      </c>
      <c r="M32" s="1" t="s">
        <v>105</v>
      </c>
      <c r="N32" s="1">
        <v>2</v>
      </c>
      <c r="O32" s="1" t="s">
        <v>226</v>
      </c>
      <c r="Q32" s="13"/>
      <c r="R32" s="13"/>
      <c r="S32" s="13"/>
      <c r="T32" s="13"/>
      <c r="U32" s="13"/>
      <c r="V32" s="13"/>
      <c r="W32" s="13"/>
      <c r="X32" s="13"/>
      <c r="Y32" s="13"/>
      <c r="Z32" s="15"/>
    </row>
    <row r="33" spans="2:26" ht="9" customHeight="1" x14ac:dyDescent="0.4">
      <c r="B33" s="1" t="s">
        <v>205</v>
      </c>
      <c r="C33" s="1" t="s">
        <v>58</v>
      </c>
      <c r="D33" s="1" t="s">
        <v>18</v>
      </c>
      <c r="E33" s="1">
        <v>16</v>
      </c>
      <c r="F33" s="1" t="s">
        <v>61</v>
      </c>
      <c r="H33" s="1">
        <f t="shared" si="0"/>
        <v>1</v>
      </c>
      <c r="I33" s="1" t="str">
        <f t="shared" si="1"/>
        <v>〇</v>
      </c>
      <c r="J33" s="1" t="s">
        <v>227</v>
      </c>
      <c r="K33" s="1" t="s">
        <v>106</v>
      </c>
      <c r="L33" s="1" t="s">
        <v>315</v>
      </c>
      <c r="M33" s="1" t="s">
        <v>106</v>
      </c>
      <c r="N33" s="1">
        <v>1</v>
      </c>
      <c r="O33" s="1" t="s">
        <v>227</v>
      </c>
      <c r="Q33" s="13"/>
      <c r="R33" s="13"/>
      <c r="S33" s="13"/>
      <c r="T33" s="13"/>
      <c r="U33" s="13"/>
      <c r="V33" s="13"/>
      <c r="W33" s="13"/>
      <c r="X33" s="13"/>
      <c r="Y33" s="13"/>
      <c r="Z33" s="15"/>
    </row>
    <row r="34" spans="2:26" ht="9" customHeight="1" x14ac:dyDescent="0.4">
      <c r="B34" s="1" t="s">
        <v>206</v>
      </c>
      <c r="C34" s="1" t="s">
        <v>62</v>
      </c>
      <c r="D34" s="1" t="s">
        <v>5</v>
      </c>
      <c r="E34" s="1">
        <v>42</v>
      </c>
      <c r="F34" s="1" t="s">
        <v>63</v>
      </c>
      <c r="H34" s="1">
        <f t="shared" ref="H34:H69" si="2">COUNTIF($B:$B,J34)</f>
        <v>4</v>
      </c>
      <c r="I34" s="1" t="str">
        <f t="shared" si="1"/>
        <v>〇</v>
      </c>
      <c r="J34" s="1" t="s">
        <v>228</v>
      </c>
      <c r="K34" s="1" t="s">
        <v>107</v>
      </c>
      <c r="L34" s="1" t="s">
        <v>316</v>
      </c>
      <c r="M34" s="1" t="s">
        <v>317</v>
      </c>
      <c r="N34" s="1">
        <v>4</v>
      </c>
      <c r="O34" s="1" t="s">
        <v>228</v>
      </c>
      <c r="Q34" s="13"/>
      <c r="R34" s="13"/>
      <c r="S34" s="13"/>
      <c r="T34" s="13"/>
      <c r="U34" s="13"/>
      <c r="V34" s="13"/>
      <c r="W34" s="13"/>
      <c r="X34" s="13"/>
      <c r="Y34" s="13"/>
      <c r="Z34" s="15"/>
    </row>
    <row r="35" spans="2:26" ht="9" customHeight="1" x14ac:dyDescent="0.4">
      <c r="B35" s="1" t="s">
        <v>206</v>
      </c>
      <c r="C35" s="1" t="s">
        <v>62</v>
      </c>
      <c r="D35" s="1" t="s">
        <v>7</v>
      </c>
      <c r="E35" s="1">
        <v>18</v>
      </c>
      <c r="F35" s="1" t="s">
        <v>64</v>
      </c>
      <c r="H35" s="1">
        <f t="shared" si="2"/>
        <v>1</v>
      </c>
      <c r="I35" s="1" t="str">
        <f t="shared" si="1"/>
        <v>〇</v>
      </c>
      <c r="J35" s="1" t="s">
        <v>229</v>
      </c>
      <c r="K35" s="1" t="s">
        <v>111</v>
      </c>
      <c r="L35" s="1" t="s">
        <v>318</v>
      </c>
      <c r="M35" s="1" t="s">
        <v>319</v>
      </c>
      <c r="N35" s="1">
        <v>1</v>
      </c>
      <c r="O35" s="1" t="s">
        <v>229</v>
      </c>
      <c r="Q35" s="13"/>
      <c r="R35" s="13"/>
      <c r="S35" s="13"/>
      <c r="T35" s="13"/>
      <c r="U35" s="13"/>
      <c r="V35" s="13"/>
      <c r="W35" s="13"/>
      <c r="X35" s="13"/>
      <c r="Y35" s="13"/>
      <c r="Z35" s="15"/>
    </row>
    <row r="36" spans="2:26" ht="9" customHeight="1" x14ac:dyDescent="0.4">
      <c r="B36" s="1" t="s">
        <v>206</v>
      </c>
      <c r="C36" s="1" t="s">
        <v>62</v>
      </c>
      <c r="D36" s="1" t="s">
        <v>18</v>
      </c>
      <c r="E36" s="1">
        <v>16</v>
      </c>
      <c r="F36" s="1" t="s">
        <v>65</v>
      </c>
      <c r="H36" s="1">
        <f t="shared" si="2"/>
        <v>1</v>
      </c>
      <c r="I36" s="1" t="str">
        <f t="shared" si="1"/>
        <v>〇</v>
      </c>
      <c r="J36" s="1" t="s">
        <v>230</v>
      </c>
      <c r="K36" s="1" t="s">
        <v>112</v>
      </c>
      <c r="L36" s="1" t="s">
        <v>320</v>
      </c>
      <c r="M36" s="1" t="s">
        <v>321</v>
      </c>
      <c r="N36" s="1">
        <v>1</v>
      </c>
      <c r="O36" s="1" t="s">
        <v>230</v>
      </c>
      <c r="Q36" s="13"/>
      <c r="R36" s="13"/>
      <c r="S36" s="13"/>
      <c r="T36" s="13"/>
      <c r="U36" s="13"/>
      <c r="V36" s="13"/>
      <c r="W36" s="13"/>
      <c r="X36" s="13"/>
      <c r="Y36" s="13"/>
      <c r="Z36" s="15"/>
    </row>
    <row r="37" spans="2:26" ht="9" customHeight="1" x14ac:dyDescent="0.4">
      <c r="B37" s="1" t="s">
        <v>207</v>
      </c>
      <c r="C37" s="1" t="s">
        <v>66</v>
      </c>
      <c r="D37" s="1" t="s">
        <v>5</v>
      </c>
      <c r="E37" s="1">
        <v>11</v>
      </c>
      <c r="F37" s="1" t="s">
        <v>50</v>
      </c>
      <c r="H37" s="1">
        <f t="shared" si="2"/>
        <v>7</v>
      </c>
      <c r="I37" s="1" t="str">
        <f t="shared" si="1"/>
        <v>〇</v>
      </c>
      <c r="J37" s="1" t="s">
        <v>231</v>
      </c>
      <c r="K37" s="1" t="s">
        <v>113</v>
      </c>
      <c r="L37" s="1" t="s">
        <v>322</v>
      </c>
      <c r="M37" s="1" t="s">
        <v>323</v>
      </c>
      <c r="N37" s="1">
        <v>7</v>
      </c>
      <c r="O37" s="1" t="s">
        <v>231</v>
      </c>
      <c r="Q37" s="13"/>
      <c r="R37" s="13"/>
      <c r="S37" s="13"/>
      <c r="T37" s="13"/>
      <c r="U37" s="13"/>
      <c r="V37" s="13"/>
      <c r="W37" s="13"/>
      <c r="X37" s="13"/>
      <c r="Y37" s="13"/>
      <c r="Z37" s="15"/>
    </row>
    <row r="38" spans="2:26" ht="9" customHeight="1" x14ac:dyDescent="0.4">
      <c r="B38" s="1" t="s">
        <v>207</v>
      </c>
      <c r="C38" s="1" t="s">
        <v>66</v>
      </c>
      <c r="D38" s="1" t="s">
        <v>7</v>
      </c>
      <c r="E38" s="1">
        <v>16</v>
      </c>
      <c r="F38" s="1" t="s">
        <v>17</v>
      </c>
      <c r="H38" s="1">
        <f t="shared" si="2"/>
        <v>3</v>
      </c>
      <c r="I38" s="1" t="str">
        <f t="shared" si="1"/>
        <v>〇</v>
      </c>
      <c r="J38" s="1" t="s">
        <v>232</v>
      </c>
      <c r="K38" s="1" t="s">
        <v>119</v>
      </c>
      <c r="L38" s="1" t="s">
        <v>324</v>
      </c>
      <c r="M38" s="1" t="s">
        <v>325</v>
      </c>
      <c r="N38" s="1">
        <v>3</v>
      </c>
      <c r="O38" s="1" t="s">
        <v>232</v>
      </c>
      <c r="Q38" s="13"/>
      <c r="R38" s="13"/>
      <c r="S38" s="13"/>
      <c r="T38" s="13"/>
      <c r="U38" s="13"/>
      <c r="V38" s="13"/>
      <c r="W38" s="13"/>
      <c r="X38" s="13"/>
      <c r="Y38" s="13"/>
      <c r="Z38" s="15"/>
    </row>
    <row r="39" spans="2:26" ht="9" customHeight="1" x14ac:dyDescent="0.4">
      <c r="B39" s="1" t="s">
        <v>208</v>
      </c>
      <c r="C39" s="1" t="s">
        <v>67</v>
      </c>
      <c r="D39" s="1" t="s">
        <v>5</v>
      </c>
      <c r="E39" s="1">
        <v>11</v>
      </c>
      <c r="F39" s="1" t="s">
        <v>68</v>
      </c>
      <c r="H39" s="1">
        <f t="shared" si="2"/>
        <v>1</v>
      </c>
      <c r="I39" s="1" t="str">
        <f t="shared" si="1"/>
        <v>〇</v>
      </c>
      <c r="J39" s="1" t="s">
        <v>233</v>
      </c>
      <c r="K39" s="1" t="s">
        <v>122</v>
      </c>
      <c r="L39" s="1" t="s">
        <v>326</v>
      </c>
      <c r="M39" s="1" t="s">
        <v>122</v>
      </c>
      <c r="N39" s="1">
        <v>1</v>
      </c>
      <c r="O39" s="1" t="s">
        <v>233</v>
      </c>
      <c r="Q39" s="13"/>
      <c r="R39" s="13"/>
      <c r="S39" s="13"/>
      <c r="T39" s="13"/>
      <c r="U39" s="13"/>
      <c r="V39" s="13"/>
      <c r="W39" s="13"/>
      <c r="X39" s="13"/>
      <c r="Y39" s="13"/>
      <c r="Z39" s="15"/>
    </row>
    <row r="40" spans="2:26" ht="9" customHeight="1" x14ac:dyDescent="0.4">
      <c r="B40" s="1" t="s">
        <v>208</v>
      </c>
      <c r="C40" s="1" t="s">
        <v>67</v>
      </c>
      <c r="D40" s="1" t="s">
        <v>7</v>
      </c>
      <c r="E40" s="1">
        <v>14</v>
      </c>
      <c r="F40" s="1" t="s">
        <v>69</v>
      </c>
      <c r="H40" s="1">
        <f t="shared" si="2"/>
        <v>1</v>
      </c>
      <c r="I40" s="1" t="str">
        <f t="shared" si="1"/>
        <v>〇</v>
      </c>
      <c r="J40" s="1" t="s">
        <v>234</v>
      </c>
      <c r="K40" s="1" t="s">
        <v>124</v>
      </c>
      <c r="L40" s="1" t="s">
        <v>327</v>
      </c>
      <c r="M40" s="1" t="s">
        <v>124</v>
      </c>
      <c r="N40" s="1">
        <v>1</v>
      </c>
      <c r="O40" s="1" t="s">
        <v>234</v>
      </c>
      <c r="Q40" s="13"/>
      <c r="R40" s="13"/>
      <c r="S40" s="13"/>
      <c r="T40" s="13"/>
      <c r="U40" s="13"/>
      <c r="V40" s="13"/>
      <c r="W40" s="13"/>
      <c r="X40" s="13"/>
      <c r="Y40" s="13"/>
      <c r="Z40" s="15"/>
    </row>
    <row r="41" spans="2:26" ht="9" customHeight="1" x14ac:dyDescent="0.4">
      <c r="B41" s="1" t="s">
        <v>209</v>
      </c>
      <c r="C41" s="1" t="s">
        <v>70</v>
      </c>
      <c r="D41" s="1" t="s">
        <v>5</v>
      </c>
      <c r="E41" s="1">
        <v>16</v>
      </c>
      <c r="F41" s="1" t="s">
        <v>71</v>
      </c>
      <c r="H41" s="1">
        <f t="shared" si="2"/>
        <v>2</v>
      </c>
      <c r="I41" s="1" t="str">
        <f t="shared" si="1"/>
        <v>〇</v>
      </c>
      <c r="J41" s="1" t="s">
        <v>235</v>
      </c>
      <c r="K41" s="1" t="s">
        <v>125</v>
      </c>
      <c r="L41" s="1" t="s">
        <v>328</v>
      </c>
      <c r="M41" s="1" t="s">
        <v>125</v>
      </c>
      <c r="N41" s="1">
        <v>2</v>
      </c>
      <c r="O41" s="1" t="s">
        <v>235</v>
      </c>
      <c r="Q41" s="13"/>
      <c r="R41" s="13"/>
      <c r="S41" s="13"/>
      <c r="T41" s="13"/>
      <c r="U41" s="13"/>
      <c r="V41" s="13"/>
      <c r="W41" s="13"/>
      <c r="X41" s="13"/>
      <c r="Y41" s="13"/>
      <c r="Z41" s="15"/>
    </row>
    <row r="42" spans="2:26" ht="9" customHeight="1" x14ac:dyDescent="0.4">
      <c r="B42" s="1" t="s">
        <v>209</v>
      </c>
      <c r="C42" s="1" t="s">
        <v>70</v>
      </c>
      <c r="D42" s="1" t="s">
        <v>7</v>
      </c>
      <c r="E42" s="1">
        <v>20</v>
      </c>
      <c r="F42" s="1" t="s">
        <v>72</v>
      </c>
      <c r="H42" s="1">
        <f t="shared" si="2"/>
        <v>1</v>
      </c>
      <c r="I42" s="1" t="str">
        <f t="shared" si="1"/>
        <v>〇</v>
      </c>
      <c r="J42" s="1" t="s">
        <v>236</v>
      </c>
      <c r="K42" s="1" t="s">
        <v>127</v>
      </c>
      <c r="L42" s="1" t="s">
        <v>329</v>
      </c>
      <c r="M42" s="1" t="s">
        <v>330</v>
      </c>
      <c r="N42" s="1">
        <v>1</v>
      </c>
      <c r="O42" s="1" t="s">
        <v>236</v>
      </c>
      <c r="Q42" s="13"/>
      <c r="R42" s="13"/>
      <c r="S42" s="13"/>
      <c r="T42" s="13"/>
      <c r="U42" s="13"/>
      <c r="V42" s="13"/>
      <c r="W42" s="13"/>
      <c r="X42" s="13"/>
      <c r="Y42" s="13"/>
      <c r="Z42" s="15"/>
    </row>
    <row r="43" spans="2:26" ht="9" customHeight="1" x14ac:dyDescent="0.4">
      <c r="B43" s="1" t="s">
        <v>209</v>
      </c>
      <c r="C43" s="1" t="s">
        <v>70</v>
      </c>
      <c r="D43" s="1" t="s">
        <v>18</v>
      </c>
      <c r="E43" s="1">
        <v>18</v>
      </c>
      <c r="F43" s="1" t="s">
        <v>73</v>
      </c>
      <c r="H43" s="1">
        <f t="shared" si="2"/>
        <v>1</v>
      </c>
      <c r="I43" s="1" t="str">
        <f t="shared" si="1"/>
        <v>〇</v>
      </c>
      <c r="J43" s="1" t="s">
        <v>237</v>
      </c>
      <c r="K43" s="1" t="s">
        <v>128</v>
      </c>
      <c r="L43" s="1" t="s">
        <v>331</v>
      </c>
      <c r="M43" s="1" t="s">
        <v>332</v>
      </c>
      <c r="N43" s="1">
        <v>1</v>
      </c>
      <c r="O43" s="1" t="s">
        <v>237</v>
      </c>
      <c r="Q43" s="13"/>
      <c r="R43" s="13"/>
      <c r="S43" s="13"/>
      <c r="T43" s="13"/>
      <c r="U43" s="13"/>
      <c r="V43" s="13"/>
      <c r="W43" s="13"/>
      <c r="X43" s="13"/>
      <c r="Y43" s="13"/>
      <c r="Z43" s="15"/>
    </row>
    <row r="44" spans="2:26" ht="9" customHeight="1" x14ac:dyDescent="0.4">
      <c r="B44" s="1" t="s">
        <v>209</v>
      </c>
      <c r="C44" s="1" t="s">
        <v>70</v>
      </c>
      <c r="D44" s="1" t="s">
        <v>21</v>
      </c>
      <c r="E44" s="1">
        <v>41</v>
      </c>
      <c r="F44" s="1" t="s">
        <v>74</v>
      </c>
      <c r="H44" s="1">
        <f t="shared" si="2"/>
        <v>10</v>
      </c>
      <c r="I44" s="1" t="str">
        <f t="shared" si="1"/>
        <v>〇</v>
      </c>
      <c r="J44" s="1" t="s">
        <v>238</v>
      </c>
      <c r="K44" s="1" t="s">
        <v>129</v>
      </c>
      <c r="L44" s="1" t="s">
        <v>333</v>
      </c>
      <c r="M44" s="1" t="s">
        <v>129</v>
      </c>
      <c r="N44" s="1">
        <v>10</v>
      </c>
      <c r="O44" s="1" t="s">
        <v>238</v>
      </c>
      <c r="Q44" s="13"/>
      <c r="R44" s="13"/>
      <c r="S44" s="13"/>
      <c r="T44" s="13"/>
      <c r="U44" s="13"/>
      <c r="V44" s="13"/>
      <c r="W44" s="13"/>
      <c r="X44" s="13"/>
      <c r="Y44" s="13"/>
      <c r="Z44" s="15"/>
    </row>
    <row r="45" spans="2:26" ht="9" customHeight="1" x14ac:dyDescent="0.4">
      <c r="B45" s="1" t="s">
        <v>209</v>
      </c>
      <c r="C45" s="1" t="s">
        <v>70</v>
      </c>
      <c r="D45" s="1" t="s">
        <v>24</v>
      </c>
      <c r="E45" s="1">
        <v>16</v>
      </c>
      <c r="F45" s="1" t="s">
        <v>75</v>
      </c>
      <c r="H45" s="1">
        <f t="shared" si="2"/>
        <v>2</v>
      </c>
      <c r="I45" s="1" t="str">
        <f t="shared" si="1"/>
        <v>〇</v>
      </c>
      <c r="J45" s="1" t="s">
        <v>239</v>
      </c>
      <c r="K45" s="1" t="s">
        <v>142</v>
      </c>
      <c r="L45" s="1" t="s">
        <v>334</v>
      </c>
      <c r="M45" s="1" t="s">
        <v>335</v>
      </c>
      <c r="N45" s="1">
        <v>2</v>
      </c>
      <c r="O45" s="1" t="s">
        <v>239</v>
      </c>
      <c r="Q45" s="13"/>
      <c r="R45" s="13"/>
      <c r="S45" s="13"/>
      <c r="T45" s="13"/>
      <c r="U45" s="13"/>
      <c r="V45" s="13"/>
      <c r="W45" s="13"/>
      <c r="X45" s="13"/>
      <c r="Y45" s="13"/>
      <c r="Z45" s="15"/>
    </row>
    <row r="46" spans="2:26" ht="9" customHeight="1" x14ac:dyDescent="0.4">
      <c r="B46" s="1" t="s">
        <v>209</v>
      </c>
      <c r="C46" s="1" t="s">
        <v>70</v>
      </c>
      <c r="D46" s="1" t="s">
        <v>27</v>
      </c>
      <c r="E46" s="1">
        <v>0</v>
      </c>
      <c r="F46" s="1" t="s">
        <v>76</v>
      </c>
      <c r="H46" s="1">
        <f t="shared" si="2"/>
        <v>1</v>
      </c>
      <c r="I46" s="1" t="str">
        <f t="shared" si="1"/>
        <v>〇</v>
      </c>
      <c r="J46" s="1" t="s">
        <v>240</v>
      </c>
      <c r="K46" s="1" t="s">
        <v>143</v>
      </c>
      <c r="L46" s="1" t="s">
        <v>336</v>
      </c>
      <c r="M46" s="1" t="s">
        <v>337</v>
      </c>
      <c r="N46" s="1">
        <v>1</v>
      </c>
      <c r="O46" s="1" t="s">
        <v>240</v>
      </c>
      <c r="Q46" s="13"/>
      <c r="R46" s="13"/>
      <c r="S46" s="13"/>
      <c r="T46" s="13"/>
      <c r="U46" s="13"/>
      <c r="V46" s="13"/>
      <c r="W46" s="13"/>
      <c r="X46" s="13"/>
      <c r="Y46" s="13"/>
      <c r="Z46" s="15"/>
    </row>
    <row r="47" spans="2:26" ht="9" customHeight="1" x14ac:dyDescent="0.4">
      <c r="B47" s="1" t="s">
        <v>210</v>
      </c>
      <c r="C47" s="1" t="s">
        <v>77</v>
      </c>
      <c r="D47" s="1" t="s">
        <v>5</v>
      </c>
      <c r="E47" s="1">
        <v>12</v>
      </c>
      <c r="F47" s="1" t="s">
        <v>78</v>
      </c>
      <c r="H47" s="1">
        <f t="shared" si="2"/>
        <v>2</v>
      </c>
      <c r="I47" s="1" t="str">
        <f t="shared" si="1"/>
        <v>〇</v>
      </c>
      <c r="J47" s="1" t="s">
        <v>241</v>
      </c>
      <c r="K47" s="1" t="s">
        <v>145</v>
      </c>
      <c r="L47" s="1" t="s">
        <v>338</v>
      </c>
      <c r="M47" s="1" t="s">
        <v>145</v>
      </c>
      <c r="N47" s="1">
        <v>2</v>
      </c>
      <c r="O47" s="1" t="s">
        <v>241</v>
      </c>
      <c r="Q47" s="13"/>
      <c r="R47" s="13"/>
      <c r="S47" s="13"/>
      <c r="T47" s="13"/>
      <c r="U47" s="13"/>
      <c r="V47" s="13"/>
      <c r="W47" s="13"/>
      <c r="X47" s="13"/>
      <c r="Y47" s="13"/>
      <c r="Z47" s="15"/>
    </row>
    <row r="48" spans="2:26" ht="9" customHeight="1" x14ac:dyDescent="0.4">
      <c r="B48" s="1" t="s">
        <v>211</v>
      </c>
      <c r="C48" s="1" t="s">
        <v>79</v>
      </c>
      <c r="D48" s="1" t="s">
        <v>5</v>
      </c>
      <c r="E48" s="1">
        <v>30</v>
      </c>
      <c r="F48" s="1" t="s">
        <v>80</v>
      </c>
      <c r="H48" s="1">
        <f t="shared" si="2"/>
        <v>5</v>
      </c>
      <c r="I48" s="1" t="str">
        <f t="shared" si="1"/>
        <v>〇</v>
      </c>
      <c r="J48" s="1" t="s">
        <v>242</v>
      </c>
      <c r="K48" s="1" t="s">
        <v>146</v>
      </c>
      <c r="L48" s="1" t="s">
        <v>339</v>
      </c>
      <c r="M48" s="1" t="s">
        <v>146</v>
      </c>
      <c r="N48" s="1">
        <v>5</v>
      </c>
      <c r="O48" s="1" t="s">
        <v>242</v>
      </c>
      <c r="Q48" s="14"/>
      <c r="R48" s="14"/>
      <c r="S48" s="14"/>
      <c r="T48" s="14"/>
      <c r="U48" s="14"/>
      <c r="V48" s="14"/>
      <c r="W48" s="14"/>
      <c r="X48" s="14"/>
      <c r="Y48" s="14"/>
      <c r="Z48" s="16"/>
    </row>
    <row r="49" spans="2:15" ht="9" customHeight="1" x14ac:dyDescent="0.4">
      <c r="B49" s="1" t="s">
        <v>211</v>
      </c>
      <c r="C49" s="1" t="s">
        <v>79</v>
      </c>
      <c r="D49" s="1" t="s">
        <v>7</v>
      </c>
      <c r="E49" s="1">
        <v>14</v>
      </c>
      <c r="F49" s="1" t="s">
        <v>81</v>
      </c>
      <c r="H49" s="1">
        <f t="shared" si="2"/>
        <v>5</v>
      </c>
      <c r="I49" s="1" t="str">
        <f t="shared" si="1"/>
        <v>〇</v>
      </c>
      <c r="J49" s="1" t="s">
        <v>243</v>
      </c>
      <c r="K49" s="1" t="s">
        <v>152</v>
      </c>
      <c r="L49" s="1" t="s">
        <v>340</v>
      </c>
      <c r="M49" s="1" t="s">
        <v>152</v>
      </c>
      <c r="N49" s="1">
        <v>5</v>
      </c>
      <c r="O49" s="1" t="s">
        <v>243</v>
      </c>
    </row>
    <row r="50" spans="2:15" ht="9" customHeight="1" x14ac:dyDescent="0.4">
      <c r="B50" s="1" t="s">
        <v>211</v>
      </c>
      <c r="C50" s="1" t="s">
        <v>79</v>
      </c>
      <c r="D50" s="1" t="s">
        <v>18</v>
      </c>
      <c r="E50" s="1">
        <v>27</v>
      </c>
      <c r="F50" s="1" t="s">
        <v>82</v>
      </c>
      <c r="H50" s="1">
        <f t="shared" si="2"/>
        <v>2</v>
      </c>
      <c r="I50" s="1" t="str">
        <f t="shared" si="1"/>
        <v>〇</v>
      </c>
      <c r="J50" s="1" t="s">
        <v>244</v>
      </c>
      <c r="K50" s="1" t="s">
        <v>158</v>
      </c>
      <c r="L50" s="1" t="s">
        <v>341</v>
      </c>
      <c r="M50" s="1" t="s">
        <v>342</v>
      </c>
      <c r="N50" s="1">
        <v>2</v>
      </c>
      <c r="O50" s="1" t="s">
        <v>244</v>
      </c>
    </row>
    <row r="51" spans="2:15" ht="9" customHeight="1" x14ac:dyDescent="0.4">
      <c r="B51" s="1" t="s">
        <v>211</v>
      </c>
      <c r="C51" s="1" t="s">
        <v>79</v>
      </c>
      <c r="D51" s="1" t="s">
        <v>21</v>
      </c>
      <c r="E51" s="1">
        <v>7</v>
      </c>
      <c r="F51" s="1" t="s">
        <v>83</v>
      </c>
      <c r="H51" s="1">
        <f t="shared" si="2"/>
        <v>3</v>
      </c>
      <c r="I51" s="1" t="str">
        <f t="shared" si="1"/>
        <v>〇</v>
      </c>
      <c r="J51" s="1" t="s">
        <v>245</v>
      </c>
      <c r="K51" s="1" t="s">
        <v>160</v>
      </c>
      <c r="L51" s="1" t="s">
        <v>343</v>
      </c>
      <c r="M51" s="1" t="s">
        <v>160</v>
      </c>
      <c r="N51" s="1">
        <v>3</v>
      </c>
      <c r="O51" s="1" t="s">
        <v>245</v>
      </c>
    </row>
    <row r="52" spans="2:15" ht="9" customHeight="1" x14ac:dyDescent="0.4">
      <c r="B52" s="1" t="s">
        <v>211</v>
      </c>
      <c r="C52" s="1" t="s">
        <v>79</v>
      </c>
      <c r="D52" s="1" t="s">
        <v>24</v>
      </c>
      <c r="E52" s="1">
        <v>8</v>
      </c>
      <c r="F52" s="1" t="s">
        <v>84</v>
      </c>
      <c r="H52" s="1">
        <f t="shared" si="2"/>
        <v>1</v>
      </c>
      <c r="I52" s="1" t="str">
        <f t="shared" si="1"/>
        <v>〇</v>
      </c>
      <c r="J52" s="1" t="s">
        <v>246</v>
      </c>
      <c r="K52" s="1" t="s">
        <v>164</v>
      </c>
      <c r="L52" s="1" t="s">
        <v>344</v>
      </c>
      <c r="M52" s="1" t="s">
        <v>345</v>
      </c>
      <c r="N52" s="1">
        <v>1</v>
      </c>
      <c r="O52" s="1" t="s">
        <v>246</v>
      </c>
    </row>
    <row r="53" spans="2:15" ht="9" customHeight="1" x14ac:dyDescent="0.4">
      <c r="B53" s="1" t="s">
        <v>212</v>
      </c>
      <c r="C53" s="1" t="s">
        <v>85</v>
      </c>
      <c r="D53" s="1" t="s">
        <v>5</v>
      </c>
      <c r="E53" s="1">
        <v>11</v>
      </c>
      <c r="F53" s="1" t="s">
        <v>15</v>
      </c>
      <c r="H53" s="1">
        <f t="shared" si="2"/>
        <v>4</v>
      </c>
      <c r="I53" s="1" t="str">
        <f t="shared" si="1"/>
        <v>〇</v>
      </c>
      <c r="J53" s="1" t="s">
        <v>247</v>
      </c>
      <c r="K53" s="1" t="s">
        <v>32</v>
      </c>
      <c r="L53" s="1" t="s">
        <v>346</v>
      </c>
      <c r="M53" s="1" t="s">
        <v>32</v>
      </c>
      <c r="N53" s="1">
        <v>4</v>
      </c>
      <c r="O53" s="1" t="s">
        <v>247</v>
      </c>
    </row>
    <row r="54" spans="2:15" ht="9" customHeight="1" x14ac:dyDescent="0.4">
      <c r="B54" s="1" t="s">
        <v>212</v>
      </c>
      <c r="C54" s="1" t="s">
        <v>85</v>
      </c>
      <c r="D54" s="1" t="s">
        <v>7</v>
      </c>
      <c r="E54" s="1">
        <v>12</v>
      </c>
      <c r="F54" s="1" t="s">
        <v>86</v>
      </c>
      <c r="H54" s="1">
        <f t="shared" si="2"/>
        <v>3</v>
      </c>
      <c r="I54" s="1" t="str">
        <f t="shared" si="1"/>
        <v>〇</v>
      </c>
      <c r="J54" s="1" t="s">
        <v>248</v>
      </c>
      <c r="K54" s="1" t="s">
        <v>169</v>
      </c>
      <c r="L54" s="1" t="s">
        <v>347</v>
      </c>
      <c r="M54" s="1" t="s">
        <v>169</v>
      </c>
      <c r="N54" s="1">
        <v>3</v>
      </c>
      <c r="O54" s="1" t="s">
        <v>248</v>
      </c>
    </row>
    <row r="55" spans="2:15" ht="9" customHeight="1" x14ac:dyDescent="0.4">
      <c r="B55" s="1" t="s">
        <v>213</v>
      </c>
      <c r="C55" s="1" t="s">
        <v>87</v>
      </c>
      <c r="D55" s="1" t="s">
        <v>5</v>
      </c>
      <c r="E55" s="1">
        <v>14</v>
      </c>
      <c r="F55" s="1" t="s">
        <v>50</v>
      </c>
      <c r="H55" s="1">
        <f t="shared" si="2"/>
        <v>3</v>
      </c>
      <c r="I55" s="1" t="str">
        <f t="shared" si="1"/>
        <v>〇</v>
      </c>
      <c r="J55" s="1" t="s">
        <v>249</v>
      </c>
      <c r="K55" s="1" t="s">
        <v>172</v>
      </c>
      <c r="L55" s="1" t="s">
        <v>348</v>
      </c>
      <c r="M55" s="1" t="s">
        <v>172</v>
      </c>
      <c r="N55" s="1">
        <v>3</v>
      </c>
      <c r="O55" s="1" t="s">
        <v>249</v>
      </c>
    </row>
    <row r="56" spans="2:15" ht="9" customHeight="1" x14ac:dyDescent="0.4">
      <c r="B56" s="1" t="s">
        <v>213</v>
      </c>
      <c r="C56" s="1" t="s">
        <v>87</v>
      </c>
      <c r="D56" s="1" t="s">
        <v>7</v>
      </c>
      <c r="E56" s="1">
        <v>17</v>
      </c>
      <c r="F56" s="1" t="s">
        <v>88</v>
      </c>
      <c r="H56" s="1">
        <f t="shared" si="2"/>
        <v>3</v>
      </c>
      <c r="I56" s="1" t="str">
        <f t="shared" si="1"/>
        <v>〇</v>
      </c>
      <c r="J56" s="1" t="s">
        <v>250</v>
      </c>
      <c r="K56" s="1" t="s">
        <v>175</v>
      </c>
      <c r="L56" s="1" t="s">
        <v>349</v>
      </c>
      <c r="M56" s="1" t="s">
        <v>350</v>
      </c>
      <c r="N56" s="1">
        <v>3</v>
      </c>
      <c r="O56" s="1" t="s">
        <v>250</v>
      </c>
    </row>
    <row r="57" spans="2:15" ht="9" customHeight="1" x14ac:dyDescent="0.4">
      <c r="B57" s="1" t="s">
        <v>214</v>
      </c>
      <c r="C57" s="1" t="s">
        <v>89</v>
      </c>
      <c r="D57" s="1" t="s">
        <v>5</v>
      </c>
      <c r="E57" s="1">
        <v>12</v>
      </c>
      <c r="F57" s="1" t="s">
        <v>40</v>
      </c>
      <c r="H57" s="1">
        <f t="shared" si="2"/>
        <v>3</v>
      </c>
      <c r="I57" s="1" t="str">
        <f t="shared" si="1"/>
        <v>〇</v>
      </c>
      <c r="J57" s="1" t="s">
        <v>251</v>
      </c>
      <c r="K57" s="1" t="s">
        <v>176</v>
      </c>
      <c r="L57" s="1" t="s">
        <v>351</v>
      </c>
      <c r="M57" s="1" t="s">
        <v>352</v>
      </c>
      <c r="N57" s="1">
        <v>3</v>
      </c>
      <c r="O57" s="1" t="s">
        <v>251</v>
      </c>
    </row>
    <row r="58" spans="2:15" ht="9" customHeight="1" x14ac:dyDescent="0.4">
      <c r="B58" s="1" t="s">
        <v>215</v>
      </c>
      <c r="C58" s="1" t="s">
        <v>90</v>
      </c>
      <c r="D58" s="1" t="s">
        <v>5</v>
      </c>
      <c r="E58" s="1">
        <v>16</v>
      </c>
      <c r="F58" s="1" t="s">
        <v>40</v>
      </c>
      <c r="H58" s="1">
        <f t="shared" si="2"/>
        <v>5</v>
      </c>
      <c r="I58" s="1" t="str">
        <f t="shared" si="1"/>
        <v>〇</v>
      </c>
      <c r="J58" s="1" t="s">
        <v>252</v>
      </c>
      <c r="K58" s="1" t="s">
        <v>178</v>
      </c>
      <c r="L58" s="1" t="s">
        <v>353</v>
      </c>
      <c r="M58" s="1" t="s">
        <v>354</v>
      </c>
      <c r="N58" s="1">
        <v>5</v>
      </c>
      <c r="O58" s="1" t="s">
        <v>252</v>
      </c>
    </row>
    <row r="59" spans="2:15" ht="9" customHeight="1" x14ac:dyDescent="0.4">
      <c r="B59" s="1" t="s">
        <v>215</v>
      </c>
      <c r="C59" s="1" t="s">
        <v>90</v>
      </c>
      <c r="D59" s="1" t="s">
        <v>7</v>
      </c>
      <c r="E59" s="1">
        <v>31</v>
      </c>
      <c r="F59" s="1" t="s">
        <v>91</v>
      </c>
      <c r="H59" s="1">
        <f t="shared" si="2"/>
        <v>3</v>
      </c>
      <c r="I59" s="1" t="str">
        <f t="shared" si="1"/>
        <v>〇</v>
      </c>
      <c r="J59" s="1" t="s">
        <v>253</v>
      </c>
      <c r="K59" s="1" t="s">
        <v>23</v>
      </c>
      <c r="L59" s="1" t="s">
        <v>355</v>
      </c>
      <c r="M59" s="1" t="s">
        <v>356</v>
      </c>
      <c r="N59" s="1">
        <v>3</v>
      </c>
      <c r="O59" s="1" t="s">
        <v>253</v>
      </c>
    </row>
    <row r="60" spans="2:15" ht="9" customHeight="1" x14ac:dyDescent="0.4">
      <c r="B60" s="1" t="s">
        <v>216</v>
      </c>
      <c r="C60" s="1" t="s">
        <v>92</v>
      </c>
      <c r="D60" s="1" t="s">
        <v>5</v>
      </c>
      <c r="E60" s="1">
        <v>18</v>
      </c>
      <c r="F60" s="1" t="s">
        <v>93</v>
      </c>
      <c r="H60" s="1">
        <f t="shared" si="2"/>
        <v>3</v>
      </c>
      <c r="I60" s="1" t="str">
        <f t="shared" si="1"/>
        <v>〇</v>
      </c>
      <c r="J60" s="1" t="s">
        <v>254</v>
      </c>
      <c r="K60" s="1" t="s">
        <v>179</v>
      </c>
      <c r="L60" s="1" t="s">
        <v>357</v>
      </c>
      <c r="M60" s="1" t="s">
        <v>358</v>
      </c>
      <c r="N60" s="1">
        <v>3</v>
      </c>
      <c r="O60" s="1" t="s">
        <v>254</v>
      </c>
    </row>
    <row r="61" spans="2:15" ht="9" customHeight="1" x14ac:dyDescent="0.4">
      <c r="B61" s="1" t="s">
        <v>216</v>
      </c>
      <c r="C61" s="1" t="s">
        <v>92</v>
      </c>
      <c r="D61" s="1" t="s">
        <v>7</v>
      </c>
      <c r="E61" s="1">
        <v>12</v>
      </c>
      <c r="F61" s="1" t="s">
        <v>64</v>
      </c>
      <c r="H61" s="1">
        <f t="shared" si="2"/>
        <v>6</v>
      </c>
      <c r="I61" s="1" t="str">
        <f t="shared" si="1"/>
        <v>〇</v>
      </c>
      <c r="J61" s="1" t="s">
        <v>255</v>
      </c>
      <c r="K61" s="1" t="s">
        <v>180</v>
      </c>
      <c r="L61" s="1" t="s">
        <v>359</v>
      </c>
      <c r="M61" s="1" t="s">
        <v>360</v>
      </c>
      <c r="N61" s="9">
        <v>6</v>
      </c>
      <c r="O61" s="1" t="s">
        <v>255</v>
      </c>
    </row>
    <row r="62" spans="2:15" ht="9" customHeight="1" x14ac:dyDescent="0.4">
      <c r="B62" s="1" t="s">
        <v>216</v>
      </c>
      <c r="C62" s="1" t="s">
        <v>92</v>
      </c>
      <c r="D62" s="1" t="s">
        <v>18</v>
      </c>
      <c r="E62" s="1">
        <v>22</v>
      </c>
      <c r="F62" s="1" t="s">
        <v>94</v>
      </c>
      <c r="H62" s="1">
        <f t="shared" si="2"/>
        <v>3</v>
      </c>
      <c r="I62" s="1" t="str">
        <f t="shared" si="1"/>
        <v>〇</v>
      </c>
      <c r="J62" s="1" t="s">
        <v>256</v>
      </c>
      <c r="K62" s="1" t="s">
        <v>187</v>
      </c>
      <c r="L62" s="1" t="s">
        <v>361</v>
      </c>
      <c r="M62" s="1" t="s">
        <v>362</v>
      </c>
      <c r="N62" s="1">
        <v>3</v>
      </c>
      <c r="O62" s="1" t="s">
        <v>256</v>
      </c>
    </row>
    <row r="63" spans="2:15" ht="9" customHeight="1" x14ac:dyDescent="0.4">
      <c r="B63" s="1" t="s">
        <v>217</v>
      </c>
      <c r="C63" s="1" t="s">
        <v>95</v>
      </c>
      <c r="D63" s="1" t="s">
        <v>5</v>
      </c>
      <c r="E63" s="1">
        <v>11</v>
      </c>
      <c r="F63" s="1" t="s">
        <v>78</v>
      </c>
      <c r="H63" s="1">
        <f t="shared" si="2"/>
        <v>5</v>
      </c>
      <c r="I63" s="1" t="str">
        <f t="shared" si="1"/>
        <v>〇</v>
      </c>
      <c r="J63" s="1" t="s">
        <v>363</v>
      </c>
      <c r="K63" s="1" t="s">
        <v>364</v>
      </c>
      <c r="L63" s="1" t="s">
        <v>365</v>
      </c>
      <c r="M63" s="1" t="s">
        <v>364</v>
      </c>
      <c r="N63" s="9">
        <v>5</v>
      </c>
      <c r="O63" s="1" t="s">
        <v>363</v>
      </c>
    </row>
    <row r="64" spans="2:15" ht="9" customHeight="1" x14ac:dyDescent="0.4">
      <c r="B64" s="1" t="s">
        <v>218</v>
      </c>
      <c r="C64" s="1" t="s">
        <v>96</v>
      </c>
      <c r="D64" s="1" t="s">
        <v>5</v>
      </c>
      <c r="E64" s="1">
        <v>12</v>
      </c>
      <c r="F64" s="1" t="s">
        <v>50</v>
      </c>
      <c r="H64" s="1">
        <f t="shared" si="2"/>
        <v>14</v>
      </c>
      <c r="I64" s="1" t="str">
        <f t="shared" si="1"/>
        <v>〇</v>
      </c>
      <c r="J64" s="1" t="s">
        <v>366</v>
      </c>
      <c r="K64" s="1" t="s">
        <v>367</v>
      </c>
      <c r="L64" s="1" t="s">
        <v>368</v>
      </c>
      <c r="M64" s="1" t="s">
        <v>367</v>
      </c>
      <c r="N64" s="9">
        <v>14</v>
      </c>
      <c r="O64" s="1" t="s">
        <v>366</v>
      </c>
    </row>
    <row r="65" spans="2:15" ht="9" customHeight="1" x14ac:dyDescent="0.4">
      <c r="B65" s="1" t="s">
        <v>218</v>
      </c>
      <c r="C65" s="1" t="s">
        <v>96</v>
      </c>
      <c r="D65" s="1" t="s">
        <v>7</v>
      </c>
      <c r="E65" s="1">
        <v>14</v>
      </c>
      <c r="F65" s="1" t="s">
        <v>69</v>
      </c>
      <c r="H65" s="1">
        <f t="shared" si="2"/>
        <v>14</v>
      </c>
      <c r="I65" s="1" t="str">
        <f t="shared" si="1"/>
        <v>〇</v>
      </c>
      <c r="J65" s="1" t="s">
        <v>369</v>
      </c>
      <c r="K65" s="1" t="s">
        <v>370</v>
      </c>
      <c r="L65" s="1" t="s">
        <v>371</v>
      </c>
      <c r="M65" s="1" t="s">
        <v>372</v>
      </c>
      <c r="N65" s="9">
        <v>14</v>
      </c>
      <c r="O65" s="1" t="s">
        <v>369</v>
      </c>
    </row>
    <row r="66" spans="2:15" ht="9" customHeight="1" x14ac:dyDescent="0.4">
      <c r="B66" s="1" t="s">
        <v>219</v>
      </c>
      <c r="C66" s="1" t="s">
        <v>97</v>
      </c>
      <c r="D66" s="1" t="s">
        <v>5</v>
      </c>
      <c r="E66" s="1">
        <v>16</v>
      </c>
      <c r="F66" s="1" t="s">
        <v>78</v>
      </c>
      <c r="H66" s="1">
        <f t="shared" si="2"/>
        <v>13</v>
      </c>
      <c r="I66" s="1" t="str">
        <f t="shared" si="1"/>
        <v>〇</v>
      </c>
      <c r="J66" s="1" t="s">
        <v>373</v>
      </c>
      <c r="K66" s="1" t="s">
        <v>374</v>
      </c>
      <c r="L66" s="1" t="s">
        <v>375</v>
      </c>
      <c r="M66" s="1" t="s">
        <v>376</v>
      </c>
      <c r="N66" s="9">
        <v>13</v>
      </c>
      <c r="O66" s="1" t="s">
        <v>373</v>
      </c>
    </row>
    <row r="67" spans="2:15" ht="9" customHeight="1" x14ac:dyDescent="0.4">
      <c r="B67" s="1" t="s">
        <v>220</v>
      </c>
      <c r="C67" s="1" t="s">
        <v>98</v>
      </c>
      <c r="D67" s="1" t="s">
        <v>5</v>
      </c>
      <c r="E67" s="1">
        <v>15</v>
      </c>
      <c r="F67" s="1" t="s">
        <v>40</v>
      </c>
      <c r="H67" s="1">
        <f t="shared" si="2"/>
        <v>13</v>
      </c>
      <c r="I67" s="1" t="str">
        <f t="shared" ref="I67:I69" si="3">IF(H67=N67,"〇","×")</f>
        <v>〇</v>
      </c>
      <c r="J67" s="1" t="s">
        <v>377</v>
      </c>
      <c r="K67" s="1" t="s">
        <v>378</v>
      </c>
      <c r="L67" s="1" t="s">
        <v>379</v>
      </c>
      <c r="M67" s="1" t="s">
        <v>380</v>
      </c>
      <c r="N67" s="9">
        <v>13</v>
      </c>
      <c r="O67" s="1" t="s">
        <v>377</v>
      </c>
    </row>
    <row r="68" spans="2:15" ht="9" customHeight="1" x14ac:dyDescent="0.4">
      <c r="B68" s="1" t="s">
        <v>221</v>
      </c>
      <c r="C68" s="1" t="s">
        <v>99</v>
      </c>
      <c r="D68" s="1" t="s">
        <v>5</v>
      </c>
      <c r="E68" s="1">
        <v>20</v>
      </c>
      <c r="F68" s="1" t="s">
        <v>40</v>
      </c>
      <c r="H68" s="1">
        <f t="shared" si="2"/>
        <v>3</v>
      </c>
      <c r="I68" s="1" t="str">
        <f t="shared" si="3"/>
        <v>〇</v>
      </c>
      <c r="J68" s="1" t="s">
        <v>257</v>
      </c>
      <c r="K68" s="1" t="s">
        <v>26</v>
      </c>
      <c r="L68" s="1" t="s">
        <v>381</v>
      </c>
      <c r="M68" s="1" t="s">
        <v>382</v>
      </c>
      <c r="N68" s="1">
        <v>3</v>
      </c>
      <c r="O68" s="1" t="s">
        <v>257</v>
      </c>
    </row>
    <row r="69" spans="2:15" ht="9" customHeight="1" x14ac:dyDescent="0.4">
      <c r="B69" s="1" t="s">
        <v>222</v>
      </c>
      <c r="C69" s="1" t="s">
        <v>100</v>
      </c>
      <c r="D69" s="1" t="s">
        <v>5</v>
      </c>
      <c r="E69" s="1">
        <v>14</v>
      </c>
      <c r="F69" s="1" t="s">
        <v>78</v>
      </c>
      <c r="H69" s="1">
        <f t="shared" si="2"/>
        <v>5</v>
      </c>
      <c r="I69" s="1" t="str">
        <f t="shared" si="3"/>
        <v>〇</v>
      </c>
      <c r="J69" s="1" t="s">
        <v>383</v>
      </c>
      <c r="K69" s="1" t="s">
        <v>384</v>
      </c>
      <c r="L69" s="1" t="s">
        <v>385</v>
      </c>
      <c r="M69" s="1" t="s">
        <v>384</v>
      </c>
      <c r="N69" s="1">
        <v>5</v>
      </c>
      <c r="O69" s="1" t="s">
        <v>383</v>
      </c>
    </row>
    <row r="70" spans="2:15" ht="9" customHeight="1" x14ac:dyDescent="0.4">
      <c r="B70" s="1" t="s">
        <v>223</v>
      </c>
      <c r="C70" s="1" t="s">
        <v>101</v>
      </c>
      <c r="D70" s="1" t="s">
        <v>5</v>
      </c>
      <c r="E70" s="1">
        <v>20</v>
      </c>
      <c r="F70" s="1" t="s">
        <v>78</v>
      </c>
    </row>
    <row r="71" spans="2:15" ht="9" customHeight="1" x14ac:dyDescent="0.4">
      <c r="B71" s="1" t="s">
        <v>224</v>
      </c>
      <c r="C71" s="1" t="s">
        <v>102</v>
      </c>
      <c r="D71" s="1" t="s">
        <v>5</v>
      </c>
      <c r="E71" s="1">
        <v>17</v>
      </c>
      <c r="F71" s="1" t="s">
        <v>50</v>
      </c>
    </row>
    <row r="72" spans="2:15" ht="9" customHeight="1" x14ac:dyDescent="0.4">
      <c r="B72" s="1" t="s">
        <v>224</v>
      </c>
      <c r="C72" s="1" t="s">
        <v>102</v>
      </c>
      <c r="D72" s="1" t="s">
        <v>7</v>
      </c>
      <c r="E72" s="1">
        <v>9</v>
      </c>
      <c r="F72" s="1" t="s">
        <v>69</v>
      </c>
    </row>
    <row r="73" spans="2:15" ht="9" customHeight="1" x14ac:dyDescent="0.4">
      <c r="B73" s="1" t="s">
        <v>225</v>
      </c>
      <c r="C73" s="1" t="s">
        <v>103</v>
      </c>
      <c r="D73" s="1" t="s">
        <v>5</v>
      </c>
      <c r="E73" s="1">
        <v>14</v>
      </c>
      <c r="F73" s="1" t="s">
        <v>53</v>
      </c>
    </row>
    <row r="74" spans="2:15" ht="9" customHeight="1" x14ac:dyDescent="0.4">
      <c r="B74" s="1" t="s">
        <v>225</v>
      </c>
      <c r="C74" s="1" t="s">
        <v>103</v>
      </c>
      <c r="D74" s="1" t="s">
        <v>7</v>
      </c>
      <c r="E74" s="1">
        <v>28</v>
      </c>
      <c r="F74" s="1" t="s">
        <v>54</v>
      </c>
    </row>
    <row r="75" spans="2:15" ht="9" customHeight="1" x14ac:dyDescent="0.4">
      <c r="B75" s="1" t="s">
        <v>225</v>
      </c>
      <c r="C75" s="1" t="s">
        <v>103</v>
      </c>
      <c r="D75" s="1" t="s">
        <v>18</v>
      </c>
      <c r="E75" s="1">
        <v>25</v>
      </c>
      <c r="F75" s="1" t="s">
        <v>104</v>
      </c>
    </row>
    <row r="76" spans="2:15" ht="9" customHeight="1" x14ac:dyDescent="0.4">
      <c r="B76" s="1" t="s">
        <v>226</v>
      </c>
      <c r="C76" s="1" t="s">
        <v>105</v>
      </c>
      <c r="D76" s="1" t="s">
        <v>5</v>
      </c>
      <c r="E76" s="1">
        <v>15</v>
      </c>
      <c r="F76" s="1" t="s">
        <v>50</v>
      </c>
    </row>
    <row r="77" spans="2:15" ht="9" customHeight="1" x14ac:dyDescent="0.4">
      <c r="B77" s="1" t="s">
        <v>226</v>
      </c>
      <c r="C77" s="1" t="s">
        <v>105</v>
      </c>
      <c r="D77" s="1" t="s">
        <v>7</v>
      </c>
      <c r="E77" s="1">
        <v>15</v>
      </c>
      <c r="F77" s="1" t="s">
        <v>45</v>
      </c>
    </row>
    <row r="78" spans="2:15" ht="9" customHeight="1" x14ac:dyDescent="0.4">
      <c r="B78" s="1" t="s">
        <v>227</v>
      </c>
      <c r="C78" s="1" t="s">
        <v>106</v>
      </c>
      <c r="D78" s="1" t="s">
        <v>5</v>
      </c>
      <c r="E78" s="1">
        <v>17</v>
      </c>
      <c r="F78" s="1" t="s">
        <v>78</v>
      </c>
    </row>
    <row r="79" spans="2:15" ht="9" customHeight="1" x14ac:dyDescent="0.4">
      <c r="B79" s="1" t="s">
        <v>228</v>
      </c>
      <c r="C79" s="1" t="s">
        <v>107</v>
      </c>
      <c r="D79" s="1" t="s">
        <v>5</v>
      </c>
      <c r="E79" s="1">
        <v>34</v>
      </c>
      <c r="F79" s="1" t="s">
        <v>108</v>
      </c>
    </row>
    <row r="80" spans="2:15" ht="9" customHeight="1" x14ac:dyDescent="0.4">
      <c r="B80" s="1" t="s">
        <v>228</v>
      </c>
      <c r="C80" s="1" t="s">
        <v>107</v>
      </c>
      <c r="D80" s="1" t="s">
        <v>7</v>
      </c>
      <c r="E80" s="1">
        <v>12</v>
      </c>
      <c r="F80" s="1" t="s">
        <v>109</v>
      </c>
    </row>
    <row r="81" spans="2:6" ht="9" customHeight="1" x14ac:dyDescent="0.4">
      <c r="B81" s="1" t="s">
        <v>228</v>
      </c>
      <c r="C81" s="1" t="s">
        <v>107</v>
      </c>
      <c r="D81" s="1" t="s">
        <v>18</v>
      </c>
      <c r="E81" s="1">
        <v>16</v>
      </c>
      <c r="F81" s="1" t="s">
        <v>69</v>
      </c>
    </row>
    <row r="82" spans="2:6" ht="9" customHeight="1" x14ac:dyDescent="0.4">
      <c r="B82" s="1" t="s">
        <v>228</v>
      </c>
      <c r="C82" s="1" t="s">
        <v>107</v>
      </c>
      <c r="D82" s="1" t="s">
        <v>21</v>
      </c>
      <c r="E82" s="1">
        <v>16</v>
      </c>
      <c r="F82" s="1" t="s">
        <v>110</v>
      </c>
    </row>
    <row r="83" spans="2:6" ht="9" customHeight="1" x14ac:dyDescent="0.4">
      <c r="B83" s="1" t="s">
        <v>229</v>
      </c>
      <c r="C83" s="1" t="s">
        <v>111</v>
      </c>
      <c r="D83" s="1" t="s">
        <v>5</v>
      </c>
      <c r="E83" s="1">
        <v>17</v>
      </c>
      <c r="F83" s="1" t="s">
        <v>40</v>
      </c>
    </row>
    <row r="84" spans="2:6" ht="9" customHeight="1" x14ac:dyDescent="0.4">
      <c r="B84" s="1" t="s">
        <v>230</v>
      </c>
      <c r="C84" s="1" t="s">
        <v>112</v>
      </c>
      <c r="D84" s="1" t="s">
        <v>5</v>
      </c>
      <c r="E84" s="1">
        <v>17</v>
      </c>
      <c r="F84" s="1" t="s">
        <v>78</v>
      </c>
    </row>
    <row r="85" spans="2:6" ht="9" customHeight="1" x14ac:dyDescent="0.4">
      <c r="B85" s="1" t="s">
        <v>231</v>
      </c>
      <c r="C85" s="1" t="s">
        <v>113</v>
      </c>
      <c r="D85" s="1" t="s">
        <v>5</v>
      </c>
      <c r="E85" s="1">
        <v>19</v>
      </c>
      <c r="F85" s="1" t="s">
        <v>114</v>
      </c>
    </row>
    <row r="86" spans="2:6" ht="9" customHeight="1" x14ac:dyDescent="0.4">
      <c r="B86" s="1" t="s">
        <v>231</v>
      </c>
      <c r="C86" s="1" t="s">
        <v>113</v>
      </c>
      <c r="D86" s="1" t="s">
        <v>7</v>
      </c>
      <c r="E86" s="1">
        <v>12</v>
      </c>
      <c r="F86" s="1" t="s">
        <v>115</v>
      </c>
    </row>
    <row r="87" spans="2:6" ht="9" customHeight="1" x14ac:dyDescent="0.4">
      <c r="B87" s="1" t="s">
        <v>231</v>
      </c>
      <c r="C87" s="1" t="s">
        <v>113</v>
      </c>
      <c r="D87" s="1" t="s">
        <v>18</v>
      </c>
      <c r="E87" s="1">
        <v>20</v>
      </c>
      <c r="F87" s="1" t="s">
        <v>116</v>
      </c>
    </row>
    <row r="88" spans="2:6" ht="9" customHeight="1" x14ac:dyDescent="0.4">
      <c r="B88" s="1" t="s">
        <v>231</v>
      </c>
      <c r="C88" s="1" t="s">
        <v>113</v>
      </c>
      <c r="D88" s="1" t="s">
        <v>21</v>
      </c>
      <c r="E88" s="1">
        <v>20</v>
      </c>
      <c r="F88" s="1" t="s">
        <v>116</v>
      </c>
    </row>
    <row r="89" spans="2:6" ht="9" customHeight="1" x14ac:dyDescent="0.4">
      <c r="B89" s="1" t="s">
        <v>231</v>
      </c>
      <c r="C89" s="1" t="s">
        <v>113</v>
      </c>
      <c r="D89" s="1" t="s">
        <v>24</v>
      </c>
      <c r="E89" s="1">
        <v>16</v>
      </c>
      <c r="F89" s="1" t="s">
        <v>116</v>
      </c>
    </row>
    <row r="90" spans="2:6" ht="9" customHeight="1" x14ac:dyDescent="0.4">
      <c r="B90" s="1" t="s">
        <v>231</v>
      </c>
      <c r="C90" s="1" t="s">
        <v>113</v>
      </c>
      <c r="D90" s="1" t="s">
        <v>27</v>
      </c>
      <c r="E90" s="1">
        <v>20</v>
      </c>
      <c r="F90" s="1" t="s">
        <v>117</v>
      </c>
    </row>
    <row r="91" spans="2:6" ht="9" customHeight="1" x14ac:dyDescent="0.4">
      <c r="B91" s="1" t="s">
        <v>231</v>
      </c>
      <c r="C91" s="1" t="s">
        <v>113</v>
      </c>
      <c r="D91" s="1" t="s">
        <v>29</v>
      </c>
      <c r="E91" s="1">
        <v>20</v>
      </c>
      <c r="F91" s="1" t="s">
        <v>118</v>
      </c>
    </row>
    <row r="92" spans="2:6" ht="9" customHeight="1" x14ac:dyDescent="0.4">
      <c r="B92" s="1" t="s">
        <v>232</v>
      </c>
      <c r="C92" s="1" t="s">
        <v>119</v>
      </c>
      <c r="D92" s="1" t="s">
        <v>5</v>
      </c>
      <c r="E92" s="1">
        <v>19</v>
      </c>
      <c r="F92" s="1" t="s">
        <v>120</v>
      </c>
    </row>
    <row r="93" spans="2:6" ht="9" customHeight="1" x14ac:dyDescent="0.4">
      <c r="B93" s="1" t="s">
        <v>232</v>
      </c>
      <c r="C93" s="1" t="s">
        <v>119</v>
      </c>
      <c r="D93" s="1" t="s">
        <v>7</v>
      </c>
      <c r="E93" s="1">
        <v>15</v>
      </c>
      <c r="F93" s="1" t="s">
        <v>121</v>
      </c>
    </row>
    <row r="94" spans="2:6" ht="9" customHeight="1" x14ac:dyDescent="0.4">
      <c r="B94" s="1" t="s">
        <v>232</v>
      </c>
      <c r="C94" s="1" t="s">
        <v>119</v>
      </c>
      <c r="D94" s="1" t="s">
        <v>18</v>
      </c>
      <c r="E94" s="1">
        <v>14</v>
      </c>
      <c r="F94" s="1" t="s">
        <v>69</v>
      </c>
    </row>
    <row r="95" spans="2:6" ht="9" customHeight="1" x14ac:dyDescent="0.4">
      <c r="B95" s="1" t="s">
        <v>233</v>
      </c>
      <c r="C95" s="1" t="s">
        <v>122</v>
      </c>
      <c r="D95" s="1" t="s">
        <v>5</v>
      </c>
      <c r="E95" s="1">
        <v>10</v>
      </c>
      <c r="F95" s="1" t="s">
        <v>123</v>
      </c>
    </row>
    <row r="96" spans="2:6" ht="9" customHeight="1" x14ac:dyDescent="0.4">
      <c r="B96" s="1" t="s">
        <v>234</v>
      </c>
      <c r="C96" s="1" t="s">
        <v>124</v>
      </c>
      <c r="D96" s="1" t="s">
        <v>5</v>
      </c>
      <c r="E96" s="1">
        <v>15</v>
      </c>
      <c r="F96" s="1" t="s">
        <v>40</v>
      </c>
    </row>
    <row r="97" spans="2:6" ht="9" customHeight="1" x14ac:dyDescent="0.4">
      <c r="B97" s="1" t="s">
        <v>235</v>
      </c>
      <c r="C97" s="1" t="s">
        <v>125</v>
      </c>
      <c r="D97" s="1" t="s">
        <v>5</v>
      </c>
      <c r="E97" s="1">
        <v>11</v>
      </c>
      <c r="F97" s="1" t="s">
        <v>50</v>
      </c>
    </row>
    <row r="98" spans="2:6" ht="9" customHeight="1" x14ac:dyDescent="0.4">
      <c r="B98" s="1" t="s">
        <v>235</v>
      </c>
      <c r="C98" s="1" t="s">
        <v>125</v>
      </c>
      <c r="D98" s="1" t="s">
        <v>7</v>
      </c>
      <c r="E98" s="1">
        <v>18</v>
      </c>
      <c r="F98" s="1" t="s">
        <v>126</v>
      </c>
    </row>
    <row r="99" spans="2:6" ht="9" customHeight="1" x14ac:dyDescent="0.4">
      <c r="B99" s="1" t="s">
        <v>236</v>
      </c>
      <c r="C99" s="1" t="s">
        <v>127</v>
      </c>
      <c r="D99" s="1" t="s">
        <v>5</v>
      </c>
      <c r="E99" s="1">
        <v>16</v>
      </c>
      <c r="F99" s="1" t="s">
        <v>78</v>
      </c>
    </row>
    <row r="100" spans="2:6" ht="9" customHeight="1" x14ac:dyDescent="0.4">
      <c r="B100" s="1" t="s">
        <v>237</v>
      </c>
      <c r="C100" s="1" t="s">
        <v>128</v>
      </c>
      <c r="D100" s="1" t="s">
        <v>5</v>
      </c>
      <c r="E100" s="1">
        <v>15</v>
      </c>
      <c r="F100" s="1" t="s">
        <v>78</v>
      </c>
    </row>
    <row r="101" spans="2:6" ht="9" customHeight="1" x14ac:dyDescent="0.4">
      <c r="B101" s="1" t="s">
        <v>238</v>
      </c>
      <c r="C101" s="1" t="s">
        <v>129</v>
      </c>
      <c r="D101" s="1" t="s">
        <v>5</v>
      </c>
      <c r="E101" s="1">
        <v>59</v>
      </c>
      <c r="F101" s="1" t="s">
        <v>130</v>
      </c>
    </row>
    <row r="102" spans="2:6" ht="9" customHeight="1" x14ac:dyDescent="0.4">
      <c r="B102" s="1" t="s">
        <v>238</v>
      </c>
      <c r="C102" s="1" t="s">
        <v>129</v>
      </c>
      <c r="D102" s="1" t="s">
        <v>7</v>
      </c>
      <c r="E102" s="1">
        <v>42</v>
      </c>
      <c r="F102" s="1" t="s">
        <v>131</v>
      </c>
    </row>
    <row r="103" spans="2:6" ht="9" customHeight="1" x14ac:dyDescent="0.4">
      <c r="B103" s="1" t="s">
        <v>238</v>
      </c>
      <c r="C103" s="1" t="s">
        <v>129</v>
      </c>
      <c r="D103" s="1" t="s">
        <v>18</v>
      </c>
      <c r="E103" s="1">
        <v>15</v>
      </c>
      <c r="F103" s="1" t="s">
        <v>132</v>
      </c>
    </row>
    <row r="104" spans="2:6" ht="9" customHeight="1" x14ac:dyDescent="0.4">
      <c r="B104" s="1" t="s">
        <v>238</v>
      </c>
      <c r="C104" s="1" t="s">
        <v>129</v>
      </c>
      <c r="D104" s="1" t="s">
        <v>21</v>
      </c>
      <c r="E104" s="1">
        <v>24</v>
      </c>
      <c r="F104" s="1" t="s">
        <v>133</v>
      </c>
    </row>
    <row r="105" spans="2:6" ht="9" customHeight="1" x14ac:dyDescent="0.4">
      <c r="B105" s="1" t="s">
        <v>238</v>
      </c>
      <c r="C105" s="1" t="s">
        <v>129</v>
      </c>
      <c r="D105" s="1" t="s">
        <v>24</v>
      </c>
      <c r="E105" s="1">
        <v>22</v>
      </c>
      <c r="F105" s="1" t="s">
        <v>134</v>
      </c>
    </row>
    <row r="106" spans="2:6" ht="9" customHeight="1" x14ac:dyDescent="0.4">
      <c r="B106" s="1" t="s">
        <v>238</v>
      </c>
      <c r="C106" s="1" t="s">
        <v>129</v>
      </c>
      <c r="D106" s="1" t="s">
        <v>27</v>
      </c>
      <c r="E106" s="1">
        <v>29</v>
      </c>
      <c r="F106" s="1" t="s">
        <v>135</v>
      </c>
    </row>
    <row r="107" spans="2:6" ht="9" customHeight="1" x14ac:dyDescent="0.4">
      <c r="B107" s="1" t="s">
        <v>238</v>
      </c>
      <c r="C107" s="1" t="s">
        <v>129</v>
      </c>
      <c r="D107" s="1" t="s">
        <v>29</v>
      </c>
      <c r="E107" s="1">
        <v>14</v>
      </c>
      <c r="F107" s="1" t="s">
        <v>136</v>
      </c>
    </row>
    <row r="108" spans="2:6" ht="9" customHeight="1" x14ac:dyDescent="0.4">
      <c r="B108" s="1" t="s">
        <v>238</v>
      </c>
      <c r="C108" s="1" t="s">
        <v>129</v>
      </c>
      <c r="D108" s="1" t="s">
        <v>137</v>
      </c>
      <c r="E108" s="1">
        <v>30</v>
      </c>
      <c r="F108" s="1" t="s">
        <v>46</v>
      </c>
    </row>
    <row r="109" spans="2:6" ht="9" customHeight="1" x14ac:dyDescent="0.4">
      <c r="B109" s="1" t="s">
        <v>238</v>
      </c>
      <c r="C109" s="1" t="s">
        <v>129</v>
      </c>
      <c r="D109" s="1" t="s">
        <v>138</v>
      </c>
      <c r="E109" s="1">
        <v>30</v>
      </c>
      <c r="F109" s="1" t="s">
        <v>139</v>
      </c>
    </row>
    <row r="110" spans="2:6" ht="9" customHeight="1" x14ac:dyDescent="0.4">
      <c r="B110" s="1" t="s">
        <v>238</v>
      </c>
      <c r="C110" s="1" t="s">
        <v>129</v>
      </c>
      <c r="D110" s="1" t="s">
        <v>140</v>
      </c>
      <c r="E110" s="1">
        <v>5</v>
      </c>
      <c r="F110" s="1" t="s">
        <v>141</v>
      </c>
    </row>
    <row r="111" spans="2:6" ht="9" customHeight="1" x14ac:dyDescent="0.4">
      <c r="B111" s="1" t="s">
        <v>239</v>
      </c>
      <c r="C111" s="1" t="s">
        <v>142</v>
      </c>
      <c r="D111" s="1" t="s">
        <v>5</v>
      </c>
      <c r="E111" s="1">
        <v>6</v>
      </c>
      <c r="F111" s="1" t="s">
        <v>50</v>
      </c>
    </row>
    <row r="112" spans="2:6" ht="9" customHeight="1" x14ac:dyDescent="0.4">
      <c r="B112" s="1" t="s">
        <v>239</v>
      </c>
      <c r="C112" s="1" t="s">
        <v>142</v>
      </c>
      <c r="D112" s="1" t="s">
        <v>7</v>
      </c>
      <c r="E112" s="1">
        <v>12</v>
      </c>
      <c r="F112" s="1" t="s">
        <v>69</v>
      </c>
    </row>
    <row r="113" spans="2:6" ht="9" customHeight="1" x14ac:dyDescent="0.4">
      <c r="B113" s="1" t="s">
        <v>240</v>
      </c>
      <c r="C113" s="1" t="s">
        <v>143</v>
      </c>
      <c r="D113" s="1" t="s">
        <v>5</v>
      </c>
      <c r="E113" s="1">
        <v>10</v>
      </c>
      <c r="F113" s="1" t="s">
        <v>144</v>
      </c>
    </row>
    <row r="114" spans="2:6" ht="9" customHeight="1" x14ac:dyDescent="0.4">
      <c r="B114" s="1" t="s">
        <v>241</v>
      </c>
      <c r="C114" s="1" t="s">
        <v>145</v>
      </c>
      <c r="D114" s="1" t="s">
        <v>5</v>
      </c>
      <c r="E114" s="1">
        <v>8</v>
      </c>
      <c r="F114" s="1" t="s">
        <v>50</v>
      </c>
    </row>
    <row r="115" spans="2:6" ht="9" customHeight="1" x14ac:dyDescent="0.4">
      <c r="B115" s="1" t="s">
        <v>241</v>
      </c>
      <c r="C115" s="1" t="s">
        <v>145</v>
      </c>
      <c r="D115" s="1" t="s">
        <v>7</v>
      </c>
      <c r="E115" s="1">
        <v>8</v>
      </c>
      <c r="F115" s="1" t="s">
        <v>69</v>
      </c>
    </row>
    <row r="116" spans="2:6" ht="9" customHeight="1" x14ac:dyDescent="0.4">
      <c r="B116" s="1" t="s">
        <v>242</v>
      </c>
      <c r="C116" s="1" t="s">
        <v>146</v>
      </c>
      <c r="D116" s="1" t="s">
        <v>5</v>
      </c>
      <c r="E116" s="1">
        <v>4</v>
      </c>
      <c r="F116" s="1" t="s">
        <v>147</v>
      </c>
    </row>
    <row r="117" spans="2:6" ht="9" customHeight="1" x14ac:dyDescent="0.4">
      <c r="B117" s="1" t="s">
        <v>242</v>
      </c>
      <c r="C117" s="1" t="s">
        <v>146</v>
      </c>
      <c r="D117" s="1" t="s">
        <v>7</v>
      </c>
      <c r="E117" s="1">
        <v>16</v>
      </c>
      <c r="F117" s="1" t="s">
        <v>148</v>
      </c>
    </row>
    <row r="118" spans="2:6" ht="9" customHeight="1" x14ac:dyDescent="0.4">
      <c r="B118" s="1" t="s">
        <v>242</v>
      </c>
      <c r="C118" s="1" t="s">
        <v>146</v>
      </c>
      <c r="D118" s="1" t="s">
        <v>18</v>
      </c>
      <c r="E118" s="1">
        <v>16</v>
      </c>
      <c r="F118" s="1" t="s">
        <v>149</v>
      </c>
    </row>
    <row r="119" spans="2:6" ht="9" customHeight="1" x14ac:dyDescent="0.4">
      <c r="B119" s="1" t="s">
        <v>242</v>
      </c>
      <c r="C119" s="1" t="s">
        <v>146</v>
      </c>
      <c r="D119" s="1" t="s">
        <v>21</v>
      </c>
      <c r="E119" s="1">
        <v>22</v>
      </c>
      <c r="F119" s="1" t="s">
        <v>150</v>
      </c>
    </row>
    <row r="120" spans="2:6" ht="9" customHeight="1" x14ac:dyDescent="0.4">
      <c r="B120" s="1" t="s">
        <v>242</v>
      </c>
      <c r="C120" s="1" t="s">
        <v>146</v>
      </c>
      <c r="D120" s="1" t="s">
        <v>24</v>
      </c>
      <c r="E120" s="1">
        <v>16</v>
      </c>
      <c r="F120" s="1" t="s">
        <v>151</v>
      </c>
    </row>
    <row r="121" spans="2:6" ht="9" customHeight="1" x14ac:dyDescent="0.4">
      <c r="B121" s="1" t="s">
        <v>243</v>
      </c>
      <c r="C121" s="1" t="s">
        <v>152</v>
      </c>
      <c r="D121" s="1" t="s">
        <v>5</v>
      </c>
      <c r="E121" s="1">
        <v>17</v>
      </c>
      <c r="F121" s="1" t="s">
        <v>153</v>
      </c>
    </row>
    <row r="122" spans="2:6" ht="9" customHeight="1" x14ac:dyDescent="0.4">
      <c r="B122" s="1" t="s">
        <v>243</v>
      </c>
      <c r="C122" s="1" t="s">
        <v>152</v>
      </c>
      <c r="D122" s="1" t="s">
        <v>7</v>
      </c>
      <c r="E122" s="1">
        <v>21</v>
      </c>
      <c r="F122" s="1" t="s">
        <v>154</v>
      </c>
    </row>
    <row r="123" spans="2:6" ht="9" customHeight="1" x14ac:dyDescent="0.4">
      <c r="B123" s="1" t="s">
        <v>243</v>
      </c>
      <c r="C123" s="1" t="s">
        <v>152</v>
      </c>
      <c r="D123" s="1" t="s">
        <v>18</v>
      </c>
      <c r="E123" s="1">
        <v>7</v>
      </c>
      <c r="F123" s="1" t="s">
        <v>155</v>
      </c>
    </row>
    <row r="124" spans="2:6" ht="9" customHeight="1" x14ac:dyDescent="0.4">
      <c r="B124" s="1" t="s">
        <v>243</v>
      </c>
      <c r="C124" s="1" t="s">
        <v>152</v>
      </c>
      <c r="D124" s="1" t="s">
        <v>21</v>
      </c>
      <c r="E124" s="1">
        <v>24</v>
      </c>
      <c r="F124" s="1" t="s">
        <v>156</v>
      </c>
    </row>
    <row r="125" spans="2:6" ht="9" customHeight="1" x14ac:dyDescent="0.4">
      <c r="B125" s="1" t="s">
        <v>243</v>
      </c>
      <c r="C125" s="1" t="s">
        <v>152</v>
      </c>
      <c r="D125" s="1" t="s">
        <v>24</v>
      </c>
      <c r="E125" s="1">
        <v>10</v>
      </c>
      <c r="F125" s="1" t="s">
        <v>157</v>
      </c>
    </row>
    <row r="126" spans="2:6" ht="9" customHeight="1" x14ac:dyDescent="0.4">
      <c r="B126" s="1" t="s">
        <v>244</v>
      </c>
      <c r="C126" s="1" t="s">
        <v>158</v>
      </c>
      <c r="D126" s="1" t="s">
        <v>5</v>
      </c>
      <c r="E126" s="1">
        <v>12</v>
      </c>
      <c r="F126" s="1" t="s">
        <v>50</v>
      </c>
    </row>
    <row r="127" spans="2:6" ht="9" customHeight="1" x14ac:dyDescent="0.4">
      <c r="B127" s="1" t="s">
        <v>244</v>
      </c>
      <c r="C127" s="1" t="s">
        <v>158</v>
      </c>
      <c r="D127" s="1" t="s">
        <v>7</v>
      </c>
      <c r="E127" s="1">
        <v>16</v>
      </c>
      <c r="F127" s="1" t="s">
        <v>159</v>
      </c>
    </row>
    <row r="128" spans="2:6" ht="9" customHeight="1" x14ac:dyDescent="0.4">
      <c r="B128" s="1" t="s">
        <v>245</v>
      </c>
      <c r="C128" s="1" t="s">
        <v>160</v>
      </c>
      <c r="D128" s="1" t="s">
        <v>5</v>
      </c>
      <c r="E128" s="1">
        <v>8</v>
      </c>
      <c r="F128" s="1" t="s">
        <v>161</v>
      </c>
    </row>
    <row r="129" spans="2:6" ht="9" customHeight="1" x14ac:dyDescent="0.4">
      <c r="B129" s="1" t="s">
        <v>245</v>
      </c>
      <c r="C129" s="1" t="s">
        <v>160</v>
      </c>
      <c r="D129" s="1" t="s">
        <v>7</v>
      </c>
      <c r="E129" s="1">
        <v>9</v>
      </c>
      <c r="F129" s="1" t="s">
        <v>162</v>
      </c>
    </row>
    <row r="130" spans="2:6" ht="9" customHeight="1" x14ac:dyDescent="0.4">
      <c r="B130" s="1" t="s">
        <v>245</v>
      </c>
      <c r="C130" s="1" t="s">
        <v>160</v>
      </c>
      <c r="D130" s="1" t="s">
        <v>18</v>
      </c>
      <c r="E130" s="1">
        <v>0</v>
      </c>
      <c r="F130" s="1" t="s">
        <v>163</v>
      </c>
    </row>
    <row r="131" spans="2:6" ht="9" customHeight="1" x14ac:dyDescent="0.4">
      <c r="B131" s="1" t="s">
        <v>246</v>
      </c>
      <c r="C131" s="1" t="s">
        <v>164</v>
      </c>
      <c r="D131" s="1" t="s">
        <v>5</v>
      </c>
      <c r="E131" s="1">
        <v>19</v>
      </c>
      <c r="F131" s="1" t="s">
        <v>144</v>
      </c>
    </row>
    <row r="132" spans="2:6" ht="9" customHeight="1" x14ac:dyDescent="0.4">
      <c r="B132" s="1" t="s">
        <v>247</v>
      </c>
      <c r="C132" s="1" t="s">
        <v>32</v>
      </c>
      <c r="D132" s="1" t="s">
        <v>5</v>
      </c>
      <c r="E132" s="1">
        <v>30</v>
      </c>
      <c r="F132" s="1" t="s">
        <v>165</v>
      </c>
    </row>
    <row r="133" spans="2:6" ht="9" customHeight="1" x14ac:dyDescent="0.4">
      <c r="B133" s="1" t="s">
        <v>247</v>
      </c>
      <c r="C133" s="1" t="s">
        <v>32</v>
      </c>
      <c r="D133" s="1" t="s">
        <v>7</v>
      </c>
      <c r="E133" s="1">
        <v>20</v>
      </c>
      <c r="F133" s="1" t="s">
        <v>166</v>
      </c>
    </row>
    <row r="134" spans="2:6" ht="9" customHeight="1" x14ac:dyDescent="0.4">
      <c r="B134" s="1" t="s">
        <v>247</v>
      </c>
      <c r="C134" s="1" t="s">
        <v>32</v>
      </c>
      <c r="D134" s="1" t="s">
        <v>18</v>
      </c>
      <c r="E134" s="1">
        <v>20</v>
      </c>
      <c r="F134" s="1" t="s">
        <v>167</v>
      </c>
    </row>
    <row r="135" spans="2:6" ht="9" customHeight="1" x14ac:dyDescent="0.4">
      <c r="B135" s="1" t="s">
        <v>247</v>
      </c>
      <c r="C135" s="1" t="s">
        <v>32</v>
      </c>
      <c r="D135" s="1" t="s">
        <v>21</v>
      </c>
      <c r="E135" s="1">
        <v>30</v>
      </c>
      <c r="F135" s="1" t="s">
        <v>168</v>
      </c>
    </row>
    <row r="136" spans="2:6" ht="9" customHeight="1" x14ac:dyDescent="0.4">
      <c r="B136" s="3" t="s">
        <v>248</v>
      </c>
      <c r="C136" s="3" t="s">
        <v>169</v>
      </c>
      <c r="D136" s="3" t="s">
        <v>5</v>
      </c>
      <c r="E136" s="3">
        <v>18</v>
      </c>
      <c r="F136" s="3" t="s">
        <v>170</v>
      </c>
    </row>
    <row r="137" spans="2:6" ht="9" customHeight="1" x14ac:dyDescent="0.4">
      <c r="B137" s="3" t="s">
        <v>248</v>
      </c>
      <c r="C137" s="3" t="s">
        <v>169</v>
      </c>
      <c r="D137" s="3" t="s">
        <v>7</v>
      </c>
      <c r="E137" s="3">
        <v>24</v>
      </c>
      <c r="F137" s="3" t="s">
        <v>166</v>
      </c>
    </row>
    <row r="138" spans="2:6" ht="9" customHeight="1" x14ac:dyDescent="0.4">
      <c r="B138" s="3" t="s">
        <v>248</v>
      </c>
      <c r="C138" s="3" t="s">
        <v>169</v>
      </c>
      <c r="D138" s="3" t="s">
        <v>18</v>
      </c>
      <c r="E138" s="3">
        <v>20</v>
      </c>
      <c r="F138" s="3" t="s">
        <v>171</v>
      </c>
    </row>
    <row r="139" spans="2:6" ht="9" customHeight="1" x14ac:dyDescent="0.4">
      <c r="B139" s="1" t="s">
        <v>249</v>
      </c>
      <c r="C139" s="1" t="s">
        <v>172</v>
      </c>
      <c r="D139" s="1" t="s">
        <v>5</v>
      </c>
      <c r="E139" s="1">
        <v>24</v>
      </c>
      <c r="F139" s="1" t="s">
        <v>173</v>
      </c>
    </row>
    <row r="140" spans="2:6" ht="9" customHeight="1" x14ac:dyDescent="0.4">
      <c r="B140" s="1" t="s">
        <v>249</v>
      </c>
      <c r="C140" s="1" t="s">
        <v>172</v>
      </c>
      <c r="D140" s="1" t="s">
        <v>7</v>
      </c>
      <c r="E140" s="1">
        <v>28</v>
      </c>
      <c r="F140" s="1" t="s">
        <v>174</v>
      </c>
    </row>
    <row r="141" spans="2:6" ht="9" customHeight="1" x14ac:dyDescent="0.4">
      <c r="B141" s="1" t="s">
        <v>249</v>
      </c>
      <c r="C141" s="1" t="s">
        <v>172</v>
      </c>
      <c r="D141" s="1" t="s">
        <v>18</v>
      </c>
      <c r="E141" s="1">
        <v>23</v>
      </c>
      <c r="F141" s="1" t="s">
        <v>171</v>
      </c>
    </row>
    <row r="142" spans="2:6" ht="9" customHeight="1" x14ac:dyDescent="0.4">
      <c r="B142" s="1" t="s">
        <v>250</v>
      </c>
      <c r="C142" s="1" t="s">
        <v>175</v>
      </c>
      <c r="D142" s="1" t="s">
        <v>5</v>
      </c>
      <c r="E142" s="1">
        <v>25</v>
      </c>
      <c r="F142" s="1" t="s">
        <v>80</v>
      </c>
    </row>
    <row r="143" spans="2:6" ht="9" customHeight="1" x14ac:dyDescent="0.4">
      <c r="B143" s="1" t="s">
        <v>250</v>
      </c>
      <c r="C143" s="1" t="s">
        <v>175</v>
      </c>
      <c r="D143" s="1" t="s">
        <v>7</v>
      </c>
      <c r="E143" s="1">
        <v>25</v>
      </c>
      <c r="F143" s="1" t="s">
        <v>166</v>
      </c>
    </row>
    <row r="144" spans="2:6" ht="9" customHeight="1" x14ac:dyDescent="0.4">
      <c r="B144" s="1" t="s">
        <v>250</v>
      </c>
      <c r="C144" s="1" t="s">
        <v>175</v>
      </c>
      <c r="D144" s="1" t="s">
        <v>18</v>
      </c>
      <c r="E144" s="1">
        <v>25</v>
      </c>
      <c r="F144" s="1" t="s">
        <v>171</v>
      </c>
    </row>
    <row r="145" spans="2:6" ht="9" customHeight="1" x14ac:dyDescent="0.4">
      <c r="B145" s="3" t="s">
        <v>251</v>
      </c>
      <c r="C145" s="3" t="s">
        <v>176</v>
      </c>
      <c r="D145" s="3" t="s">
        <v>5</v>
      </c>
      <c r="E145" s="1">
        <v>26</v>
      </c>
      <c r="F145" s="1" t="s">
        <v>165</v>
      </c>
    </row>
    <row r="146" spans="2:6" ht="9" customHeight="1" x14ac:dyDescent="0.4">
      <c r="B146" s="3" t="s">
        <v>251</v>
      </c>
      <c r="C146" s="3" t="s">
        <v>176</v>
      </c>
      <c r="D146" s="3" t="s">
        <v>7</v>
      </c>
      <c r="E146" s="1">
        <v>23</v>
      </c>
      <c r="F146" s="1" t="s">
        <v>177</v>
      </c>
    </row>
    <row r="147" spans="2:6" ht="9" customHeight="1" x14ac:dyDescent="0.4">
      <c r="B147" s="3" t="s">
        <v>251</v>
      </c>
      <c r="C147" s="3" t="s">
        <v>176</v>
      </c>
      <c r="D147" s="3" t="s">
        <v>18</v>
      </c>
      <c r="E147" s="1">
        <v>33</v>
      </c>
      <c r="F147" s="1" t="s">
        <v>171</v>
      </c>
    </row>
    <row r="148" spans="2:6" ht="9" customHeight="1" x14ac:dyDescent="0.4">
      <c r="B148" s="1" t="s">
        <v>252</v>
      </c>
      <c r="C148" s="1" t="s">
        <v>178</v>
      </c>
      <c r="D148" s="1" t="s">
        <v>9</v>
      </c>
      <c r="E148" s="1">
        <v>35</v>
      </c>
      <c r="F148" s="1" t="s">
        <v>14</v>
      </c>
    </row>
    <row r="149" spans="2:6" ht="9" customHeight="1" x14ac:dyDescent="0.4">
      <c r="B149" s="1" t="s">
        <v>252</v>
      </c>
      <c r="C149" s="1" t="s">
        <v>178</v>
      </c>
      <c r="D149" s="1" t="s">
        <v>10</v>
      </c>
      <c r="E149" s="1">
        <v>24</v>
      </c>
      <c r="F149" s="1" t="s">
        <v>14</v>
      </c>
    </row>
    <row r="150" spans="2:6" ht="9" customHeight="1" x14ac:dyDescent="0.4">
      <c r="B150" s="1" t="s">
        <v>252</v>
      </c>
      <c r="C150" s="1" t="s">
        <v>178</v>
      </c>
      <c r="D150" s="1" t="s">
        <v>11</v>
      </c>
      <c r="E150" s="1">
        <v>24</v>
      </c>
      <c r="F150" s="1" t="s">
        <v>194</v>
      </c>
    </row>
    <row r="151" spans="2:6" ht="9" customHeight="1" x14ac:dyDescent="0.4">
      <c r="B151" s="1" t="s">
        <v>252</v>
      </c>
      <c r="C151" s="1" t="s">
        <v>178</v>
      </c>
      <c r="D151" s="1" t="s">
        <v>12</v>
      </c>
      <c r="E151" s="1">
        <v>20</v>
      </c>
      <c r="F151" s="1" t="s">
        <v>193</v>
      </c>
    </row>
    <row r="152" spans="2:6" ht="9" customHeight="1" x14ac:dyDescent="0.4">
      <c r="B152" s="1" t="s">
        <v>252</v>
      </c>
      <c r="C152" s="1" t="s">
        <v>178</v>
      </c>
      <c r="D152" s="1" t="s">
        <v>13</v>
      </c>
      <c r="E152" s="1">
        <v>30</v>
      </c>
      <c r="F152" s="1" t="s">
        <v>195</v>
      </c>
    </row>
    <row r="153" spans="2:6" ht="9" customHeight="1" x14ac:dyDescent="0.4">
      <c r="B153" s="3" t="s">
        <v>253</v>
      </c>
      <c r="C153" s="3" t="s">
        <v>23</v>
      </c>
      <c r="D153" s="3" t="s">
        <v>5</v>
      </c>
      <c r="E153" s="3">
        <v>32</v>
      </c>
      <c r="F153" s="3" t="s">
        <v>80</v>
      </c>
    </row>
    <row r="154" spans="2:6" ht="9" customHeight="1" x14ac:dyDescent="0.4">
      <c r="B154" s="3" t="s">
        <v>253</v>
      </c>
      <c r="C154" s="3" t="s">
        <v>23</v>
      </c>
      <c r="D154" s="3" t="s">
        <v>7</v>
      </c>
      <c r="E154" s="3">
        <v>20</v>
      </c>
      <c r="F154" s="3" t="s">
        <v>166</v>
      </c>
    </row>
    <row r="155" spans="2:6" ht="9" customHeight="1" x14ac:dyDescent="0.4">
      <c r="B155" s="3" t="s">
        <v>253</v>
      </c>
      <c r="C155" s="3" t="s">
        <v>23</v>
      </c>
      <c r="D155" s="3" t="s">
        <v>18</v>
      </c>
      <c r="E155" s="3">
        <v>33</v>
      </c>
      <c r="F155" s="3" t="s">
        <v>171</v>
      </c>
    </row>
    <row r="156" spans="2:6" ht="9" customHeight="1" x14ac:dyDescent="0.4">
      <c r="B156" s="1" t="s">
        <v>254</v>
      </c>
      <c r="C156" s="1" t="s">
        <v>179</v>
      </c>
      <c r="D156" s="1" t="s">
        <v>5</v>
      </c>
      <c r="E156" s="3">
        <v>20</v>
      </c>
      <c r="F156" s="1" t="s">
        <v>165</v>
      </c>
    </row>
    <row r="157" spans="2:6" ht="9" customHeight="1" x14ac:dyDescent="0.4">
      <c r="B157" s="1" t="s">
        <v>254</v>
      </c>
      <c r="C157" s="1" t="s">
        <v>179</v>
      </c>
      <c r="D157" s="1" t="s">
        <v>7</v>
      </c>
      <c r="E157" s="3">
        <v>30</v>
      </c>
      <c r="F157" s="1" t="s">
        <v>177</v>
      </c>
    </row>
    <row r="158" spans="2:6" ht="9" customHeight="1" x14ac:dyDescent="0.4">
      <c r="B158" s="1" t="s">
        <v>254</v>
      </c>
      <c r="C158" s="1" t="s">
        <v>179</v>
      </c>
      <c r="D158" s="1" t="s">
        <v>18</v>
      </c>
      <c r="E158" s="3">
        <v>20</v>
      </c>
      <c r="F158" s="1" t="s">
        <v>171</v>
      </c>
    </row>
    <row r="159" spans="2:6" ht="9" customHeight="1" x14ac:dyDescent="0.4">
      <c r="B159" s="1" t="s">
        <v>255</v>
      </c>
      <c r="C159" s="1" t="s">
        <v>180</v>
      </c>
      <c r="D159" s="1" t="s">
        <v>5</v>
      </c>
      <c r="E159" s="1">
        <v>34</v>
      </c>
      <c r="F159" s="1" t="s">
        <v>181</v>
      </c>
    </row>
    <row r="160" spans="2:6" ht="9" customHeight="1" x14ac:dyDescent="0.4">
      <c r="B160" s="1" t="s">
        <v>255</v>
      </c>
      <c r="C160" s="1" t="s">
        <v>180</v>
      </c>
      <c r="D160" s="1" t="s">
        <v>7</v>
      </c>
      <c r="E160" s="1">
        <v>11</v>
      </c>
      <c r="F160" s="1" t="s">
        <v>182</v>
      </c>
    </row>
    <row r="161" spans="2:6" ht="9" customHeight="1" x14ac:dyDescent="0.4">
      <c r="B161" s="1" t="s">
        <v>255</v>
      </c>
      <c r="C161" s="1" t="s">
        <v>180</v>
      </c>
      <c r="D161" s="1" t="s">
        <v>18</v>
      </c>
      <c r="E161" s="1">
        <v>20</v>
      </c>
      <c r="F161" s="1" t="s">
        <v>183</v>
      </c>
    </row>
    <row r="162" spans="2:6" ht="9" customHeight="1" x14ac:dyDescent="0.4">
      <c r="B162" s="1" t="s">
        <v>255</v>
      </c>
      <c r="C162" s="1" t="s">
        <v>180</v>
      </c>
      <c r="D162" s="1" t="s">
        <v>21</v>
      </c>
      <c r="E162" s="1">
        <v>18</v>
      </c>
      <c r="F162" s="1" t="s">
        <v>184</v>
      </c>
    </row>
    <row r="163" spans="2:6" ht="9" customHeight="1" x14ac:dyDescent="0.4">
      <c r="B163" s="1" t="s">
        <v>255</v>
      </c>
      <c r="C163" s="1" t="s">
        <v>180</v>
      </c>
      <c r="D163" s="1" t="s">
        <v>24</v>
      </c>
      <c r="E163" s="1">
        <v>14</v>
      </c>
      <c r="F163" s="1" t="s">
        <v>185</v>
      </c>
    </row>
    <row r="164" spans="2:6" ht="9" customHeight="1" x14ac:dyDescent="0.4">
      <c r="B164" s="1" t="s">
        <v>255</v>
      </c>
      <c r="C164" s="1" t="s">
        <v>180</v>
      </c>
      <c r="D164" s="1" t="s">
        <v>27</v>
      </c>
      <c r="E164" s="1">
        <v>18</v>
      </c>
      <c r="F164" s="1" t="s">
        <v>186</v>
      </c>
    </row>
    <row r="165" spans="2:6" ht="9" customHeight="1" x14ac:dyDescent="0.4">
      <c r="B165" s="1" t="s">
        <v>256</v>
      </c>
      <c r="C165" s="1" t="s">
        <v>187</v>
      </c>
      <c r="D165" s="1" t="s">
        <v>5</v>
      </c>
      <c r="E165" s="1">
        <v>59</v>
      </c>
      <c r="F165" s="1" t="s">
        <v>188</v>
      </c>
    </row>
    <row r="166" spans="2:6" ht="9" customHeight="1" x14ac:dyDescent="0.4">
      <c r="B166" s="1" t="s">
        <v>256</v>
      </c>
      <c r="C166" s="1" t="s">
        <v>187</v>
      </c>
      <c r="D166" s="1" t="s">
        <v>7</v>
      </c>
      <c r="E166" s="1">
        <v>40</v>
      </c>
      <c r="F166" s="1" t="s">
        <v>189</v>
      </c>
    </row>
    <row r="167" spans="2:6" ht="9" customHeight="1" x14ac:dyDescent="0.4">
      <c r="B167" s="1" t="s">
        <v>256</v>
      </c>
      <c r="C167" s="1" t="s">
        <v>187</v>
      </c>
      <c r="D167" s="1" t="s">
        <v>18</v>
      </c>
      <c r="E167" s="1">
        <v>15</v>
      </c>
      <c r="F167" s="1" t="s">
        <v>190</v>
      </c>
    </row>
    <row r="168" spans="2:6" ht="9" customHeight="1" x14ac:dyDescent="0.4">
      <c r="B168" s="1" t="s">
        <v>257</v>
      </c>
      <c r="C168" s="1" t="s">
        <v>26</v>
      </c>
      <c r="D168" s="1" t="s">
        <v>9</v>
      </c>
      <c r="E168" s="1">
        <v>21</v>
      </c>
      <c r="F168" s="1" t="s">
        <v>20</v>
      </c>
    </row>
    <row r="169" spans="2:6" ht="9" customHeight="1" x14ac:dyDescent="0.4">
      <c r="B169" s="1" t="s">
        <v>257</v>
      </c>
      <c r="C169" s="1" t="s">
        <v>26</v>
      </c>
      <c r="D169" s="1" t="s">
        <v>10</v>
      </c>
      <c r="E169" s="1">
        <v>25</v>
      </c>
      <c r="F169" s="1" t="s">
        <v>191</v>
      </c>
    </row>
    <row r="170" spans="2:6" ht="9" customHeight="1" x14ac:dyDescent="0.4">
      <c r="B170" s="1" t="s">
        <v>257</v>
      </c>
      <c r="C170" s="1" t="s">
        <v>26</v>
      </c>
      <c r="D170" s="1" t="s">
        <v>11</v>
      </c>
      <c r="E170" s="1">
        <v>25</v>
      </c>
      <c r="F170" s="1" t="s">
        <v>192</v>
      </c>
    </row>
    <row r="171" spans="2:6" ht="9" customHeight="1" x14ac:dyDescent="0.4">
      <c r="B171" s="1" t="s">
        <v>377</v>
      </c>
      <c r="C171" s="1" t="s">
        <v>378</v>
      </c>
      <c r="D171" s="1" t="s">
        <v>9</v>
      </c>
      <c r="E171" s="1">
        <v>7</v>
      </c>
      <c r="F171" s="1" t="s">
        <v>392</v>
      </c>
    </row>
    <row r="172" spans="2:6" ht="9" customHeight="1" x14ac:dyDescent="0.4">
      <c r="B172" s="1" t="s">
        <v>377</v>
      </c>
      <c r="C172" s="1" t="s">
        <v>378</v>
      </c>
      <c r="D172" s="1" t="s">
        <v>10</v>
      </c>
      <c r="E172" s="1">
        <v>2</v>
      </c>
      <c r="F172" s="1" t="s">
        <v>395</v>
      </c>
    </row>
    <row r="173" spans="2:6" ht="9" customHeight="1" x14ac:dyDescent="0.4">
      <c r="B173" s="1" t="s">
        <v>377</v>
      </c>
      <c r="C173" s="1" t="s">
        <v>378</v>
      </c>
      <c r="D173" s="1" t="s">
        <v>11</v>
      </c>
      <c r="E173" s="1">
        <v>2</v>
      </c>
      <c r="F173" s="1" t="s">
        <v>397</v>
      </c>
    </row>
    <row r="174" spans="2:6" ht="9" customHeight="1" x14ac:dyDescent="0.4">
      <c r="B174" s="1" t="s">
        <v>377</v>
      </c>
      <c r="C174" s="1" t="s">
        <v>378</v>
      </c>
      <c r="D174" s="1" t="s">
        <v>12</v>
      </c>
      <c r="E174" s="1">
        <v>2</v>
      </c>
      <c r="F174" s="1" t="s">
        <v>399</v>
      </c>
    </row>
    <row r="175" spans="2:6" ht="9" customHeight="1" x14ac:dyDescent="0.4">
      <c r="B175" s="1" t="s">
        <v>377</v>
      </c>
      <c r="C175" s="1" t="s">
        <v>378</v>
      </c>
      <c r="D175" s="1" t="s">
        <v>13</v>
      </c>
      <c r="E175" s="1">
        <v>24</v>
      </c>
      <c r="F175" s="1" t="s">
        <v>401</v>
      </c>
    </row>
    <row r="176" spans="2:6" ht="9" customHeight="1" x14ac:dyDescent="0.4">
      <c r="B176" s="1" t="s">
        <v>377</v>
      </c>
      <c r="C176" s="1" t="s">
        <v>378</v>
      </c>
      <c r="D176" s="1" t="s">
        <v>454</v>
      </c>
      <c r="E176" s="1">
        <v>8</v>
      </c>
      <c r="F176" s="1" t="s">
        <v>403</v>
      </c>
    </row>
    <row r="177" spans="2:26" ht="9" customHeight="1" x14ac:dyDescent="0.4">
      <c r="B177" s="1" t="s">
        <v>377</v>
      </c>
      <c r="C177" s="1" t="s">
        <v>378</v>
      </c>
      <c r="D177" s="1" t="s">
        <v>455</v>
      </c>
      <c r="E177" s="1">
        <v>20</v>
      </c>
      <c r="F177" s="1" t="s">
        <v>405</v>
      </c>
    </row>
    <row r="178" spans="2:26" ht="9" customHeight="1" x14ac:dyDescent="0.4">
      <c r="B178" s="1" t="s">
        <v>377</v>
      </c>
      <c r="C178" s="1" t="s">
        <v>378</v>
      </c>
      <c r="D178" s="1" t="s">
        <v>456</v>
      </c>
      <c r="E178" s="1">
        <v>15</v>
      </c>
      <c r="F178" s="1" t="s">
        <v>407</v>
      </c>
    </row>
    <row r="179" spans="2:26" ht="9" customHeight="1" x14ac:dyDescent="0.4">
      <c r="B179" s="1" t="s">
        <v>377</v>
      </c>
      <c r="C179" s="1" t="s">
        <v>378</v>
      </c>
      <c r="D179" s="1" t="s">
        <v>457</v>
      </c>
      <c r="E179" s="1">
        <v>18</v>
      </c>
      <c r="F179" s="1" t="s">
        <v>409</v>
      </c>
    </row>
    <row r="180" spans="2:26" ht="9" customHeight="1" x14ac:dyDescent="0.4">
      <c r="B180" s="1" t="s">
        <v>377</v>
      </c>
      <c r="C180" s="1" t="s">
        <v>378</v>
      </c>
      <c r="D180" s="1" t="s">
        <v>458</v>
      </c>
      <c r="E180" s="1">
        <v>35</v>
      </c>
      <c r="F180" s="1" t="s">
        <v>411</v>
      </c>
    </row>
    <row r="181" spans="2:26" ht="9" customHeight="1" x14ac:dyDescent="0.4">
      <c r="B181" s="1" t="s">
        <v>377</v>
      </c>
      <c r="C181" s="1" t="s">
        <v>378</v>
      </c>
      <c r="D181" s="1" t="s">
        <v>459</v>
      </c>
      <c r="E181" s="1">
        <v>10</v>
      </c>
      <c r="F181" s="1" t="s">
        <v>413</v>
      </c>
    </row>
    <row r="182" spans="2:26" ht="9" customHeight="1" x14ac:dyDescent="0.4">
      <c r="B182" s="1" t="s">
        <v>377</v>
      </c>
      <c r="C182" s="1" t="s">
        <v>378</v>
      </c>
      <c r="D182" s="1" t="s">
        <v>460</v>
      </c>
      <c r="E182" s="1">
        <v>31</v>
      </c>
      <c r="F182" s="1" t="s">
        <v>415</v>
      </c>
    </row>
    <row r="183" spans="2:26" ht="9" customHeight="1" x14ac:dyDescent="0.4">
      <c r="B183" s="1" t="s">
        <v>377</v>
      </c>
      <c r="C183" s="1" t="s">
        <v>378</v>
      </c>
      <c r="D183" s="1" t="s">
        <v>461</v>
      </c>
      <c r="E183" s="1">
        <v>8</v>
      </c>
      <c r="F183" s="1" t="s">
        <v>417</v>
      </c>
    </row>
    <row r="184" spans="2:26" s="8" customFormat="1" ht="9" customHeight="1" x14ac:dyDescent="0.4">
      <c r="B184" s="1" t="s">
        <v>373</v>
      </c>
      <c r="C184" s="8" t="s">
        <v>374</v>
      </c>
      <c r="D184" s="8" t="s">
        <v>9</v>
      </c>
      <c r="E184" s="8">
        <v>7</v>
      </c>
      <c r="F184" s="8" t="s">
        <v>392</v>
      </c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s="8" customFormat="1" ht="9" customHeight="1" x14ac:dyDescent="0.4">
      <c r="B185" s="1" t="s">
        <v>373</v>
      </c>
      <c r="C185" s="8" t="s">
        <v>374</v>
      </c>
      <c r="D185" s="8" t="s">
        <v>10</v>
      </c>
      <c r="E185" s="8">
        <v>2</v>
      </c>
      <c r="F185" s="8" t="s">
        <v>395</v>
      </c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s="8" customFormat="1" ht="9" customHeight="1" x14ac:dyDescent="0.4">
      <c r="B186" s="1" t="s">
        <v>373</v>
      </c>
      <c r="C186" s="8" t="s">
        <v>374</v>
      </c>
      <c r="D186" s="8" t="s">
        <v>11</v>
      </c>
      <c r="E186" s="8">
        <v>2</v>
      </c>
      <c r="F186" s="8" t="s">
        <v>397</v>
      </c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s="8" customFormat="1" ht="9" customHeight="1" x14ac:dyDescent="0.4">
      <c r="B187" s="1" t="s">
        <v>373</v>
      </c>
      <c r="C187" s="8" t="s">
        <v>374</v>
      </c>
      <c r="D187" s="8" t="s">
        <v>12</v>
      </c>
      <c r="E187" s="8">
        <v>2</v>
      </c>
      <c r="F187" s="8" t="s">
        <v>399</v>
      </c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s="8" customFormat="1" ht="9" customHeight="1" x14ac:dyDescent="0.4">
      <c r="B188" s="1" t="s">
        <v>373</v>
      </c>
      <c r="C188" s="8" t="s">
        <v>374</v>
      </c>
      <c r="D188" s="8" t="s">
        <v>13</v>
      </c>
      <c r="E188" s="8">
        <v>24</v>
      </c>
      <c r="F188" s="8" t="s">
        <v>401</v>
      </c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s="8" customFormat="1" ht="9" customHeight="1" x14ac:dyDescent="0.4">
      <c r="B189" s="1" t="s">
        <v>373</v>
      </c>
      <c r="C189" s="8" t="s">
        <v>374</v>
      </c>
      <c r="D189" s="8" t="s">
        <v>454</v>
      </c>
      <c r="E189" s="8">
        <v>8</v>
      </c>
      <c r="F189" s="8" t="s">
        <v>403</v>
      </c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s="8" customFormat="1" ht="9" customHeight="1" x14ac:dyDescent="0.4">
      <c r="B190" s="1" t="s">
        <v>373</v>
      </c>
      <c r="C190" s="8" t="s">
        <v>374</v>
      </c>
      <c r="D190" s="8" t="s">
        <v>455</v>
      </c>
      <c r="E190" s="8">
        <v>20</v>
      </c>
      <c r="F190" s="8" t="s">
        <v>405</v>
      </c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s="8" customFormat="1" ht="9" customHeight="1" x14ac:dyDescent="0.4">
      <c r="B191" s="1" t="s">
        <v>373</v>
      </c>
      <c r="C191" s="8" t="s">
        <v>374</v>
      </c>
      <c r="D191" s="8" t="s">
        <v>456</v>
      </c>
      <c r="E191" s="8">
        <v>15</v>
      </c>
      <c r="F191" s="8" t="s">
        <v>407</v>
      </c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s="8" customFormat="1" ht="9" customHeight="1" x14ac:dyDescent="0.4">
      <c r="B192" s="1" t="s">
        <v>373</v>
      </c>
      <c r="C192" s="8" t="s">
        <v>374</v>
      </c>
      <c r="D192" s="8" t="s">
        <v>457</v>
      </c>
      <c r="E192" s="8">
        <v>18</v>
      </c>
      <c r="F192" s="8" t="s">
        <v>409</v>
      </c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s="8" customFormat="1" ht="9" customHeight="1" x14ac:dyDescent="0.4">
      <c r="B193" s="1" t="s">
        <v>373</v>
      </c>
      <c r="C193" s="8" t="s">
        <v>374</v>
      </c>
      <c r="D193" s="8" t="s">
        <v>458</v>
      </c>
      <c r="E193" s="8">
        <v>35</v>
      </c>
      <c r="F193" s="8" t="s">
        <v>411</v>
      </c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s="8" customFormat="1" ht="9" customHeight="1" x14ac:dyDescent="0.4">
      <c r="B194" s="1" t="s">
        <v>373</v>
      </c>
      <c r="C194" s="8" t="s">
        <v>374</v>
      </c>
      <c r="D194" s="8" t="s">
        <v>459</v>
      </c>
      <c r="E194" s="8">
        <v>10</v>
      </c>
      <c r="F194" s="8" t="s">
        <v>413</v>
      </c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s="8" customFormat="1" ht="9" customHeight="1" x14ac:dyDescent="0.4">
      <c r="B195" s="1" t="s">
        <v>373</v>
      </c>
      <c r="C195" s="8" t="s">
        <v>374</v>
      </c>
      <c r="D195" s="8" t="s">
        <v>460</v>
      </c>
      <c r="E195" s="8">
        <v>31</v>
      </c>
      <c r="F195" s="8" t="s">
        <v>415</v>
      </c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s="8" customFormat="1" ht="9" customHeight="1" x14ac:dyDescent="0.4">
      <c r="B196" s="1" t="s">
        <v>373</v>
      </c>
      <c r="C196" s="8" t="s">
        <v>374</v>
      </c>
      <c r="D196" s="8" t="s">
        <v>461</v>
      </c>
      <c r="E196" s="8">
        <v>8</v>
      </c>
      <c r="F196" s="8" t="s">
        <v>417</v>
      </c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ht="9" customHeight="1" x14ac:dyDescent="0.4">
      <c r="B197" s="1" t="s">
        <v>366</v>
      </c>
      <c r="C197" s="1" t="s">
        <v>367</v>
      </c>
      <c r="D197" s="1" t="s">
        <v>9</v>
      </c>
      <c r="E197" s="1">
        <v>17</v>
      </c>
      <c r="F197" s="1" t="s">
        <v>419</v>
      </c>
      <c r="H197" s="1">
        <f t="shared" ref="H197:H206" si="4">COUNTIF($B:$B,J197)</f>
        <v>3</v>
      </c>
      <c r="I197" s="1" t="str">
        <f t="shared" ref="I197:I204" si="5">IF(H197=N197,"〇","×")</f>
        <v>〇</v>
      </c>
      <c r="J197" s="1" t="s">
        <v>256</v>
      </c>
      <c r="K197" s="1" t="s">
        <v>187</v>
      </c>
      <c r="L197" s="1" t="s">
        <v>361</v>
      </c>
      <c r="M197" s="1" t="s">
        <v>362</v>
      </c>
      <c r="N197" s="1">
        <v>3</v>
      </c>
      <c r="O197" s="1" t="s">
        <v>256</v>
      </c>
    </row>
    <row r="198" spans="2:26" ht="9" customHeight="1" x14ac:dyDescent="0.4">
      <c r="B198" s="1" t="s">
        <v>366</v>
      </c>
      <c r="C198" s="1" t="s">
        <v>367</v>
      </c>
      <c r="D198" s="1" t="s">
        <v>10</v>
      </c>
      <c r="E198" s="1">
        <v>14</v>
      </c>
      <c r="F198" s="1" t="s">
        <v>401</v>
      </c>
      <c r="H198" s="1">
        <f t="shared" si="4"/>
        <v>5</v>
      </c>
      <c r="I198" s="1" t="str">
        <f t="shared" si="5"/>
        <v>〇</v>
      </c>
      <c r="J198" s="1" t="s">
        <v>363</v>
      </c>
      <c r="K198" s="1" t="s">
        <v>364</v>
      </c>
      <c r="L198" s="1" t="s">
        <v>365</v>
      </c>
      <c r="M198" s="1" t="s">
        <v>364</v>
      </c>
      <c r="N198" s="9">
        <v>5</v>
      </c>
      <c r="O198" s="1" t="s">
        <v>363</v>
      </c>
    </row>
    <row r="199" spans="2:26" ht="9" customHeight="1" x14ac:dyDescent="0.4">
      <c r="B199" s="1" t="s">
        <v>366</v>
      </c>
      <c r="C199" s="1" t="s">
        <v>367</v>
      </c>
      <c r="D199" s="1" t="s">
        <v>11</v>
      </c>
      <c r="E199" s="1">
        <v>10</v>
      </c>
      <c r="F199" s="1" t="s">
        <v>420</v>
      </c>
      <c r="H199" s="1">
        <f t="shared" si="4"/>
        <v>14</v>
      </c>
      <c r="I199" s="1" t="str">
        <f t="shared" si="5"/>
        <v>〇</v>
      </c>
      <c r="J199" s="8" t="s">
        <v>366</v>
      </c>
      <c r="K199" s="8" t="s">
        <v>367</v>
      </c>
      <c r="L199" s="1" t="s">
        <v>368</v>
      </c>
      <c r="M199" s="1" t="s">
        <v>367</v>
      </c>
      <c r="N199" s="9">
        <v>14</v>
      </c>
      <c r="O199" s="1" t="s">
        <v>366</v>
      </c>
    </row>
    <row r="200" spans="2:26" ht="9" customHeight="1" x14ac:dyDescent="0.4">
      <c r="B200" s="1" t="s">
        <v>366</v>
      </c>
      <c r="C200" s="1" t="s">
        <v>367</v>
      </c>
      <c r="D200" s="1" t="s">
        <v>12</v>
      </c>
      <c r="E200" s="1">
        <v>31</v>
      </c>
      <c r="F200" s="1" t="s">
        <v>421</v>
      </c>
      <c r="H200" s="1">
        <f t="shared" si="4"/>
        <v>14</v>
      </c>
      <c r="I200" s="1" t="str">
        <f t="shared" si="5"/>
        <v>〇</v>
      </c>
      <c r="J200" s="1" t="s">
        <v>369</v>
      </c>
      <c r="K200" s="1" t="s">
        <v>370</v>
      </c>
      <c r="L200" s="1" t="s">
        <v>371</v>
      </c>
      <c r="M200" s="1" t="s">
        <v>372</v>
      </c>
      <c r="N200" s="9">
        <v>14</v>
      </c>
      <c r="O200" s="1" t="s">
        <v>369</v>
      </c>
    </row>
    <row r="201" spans="2:26" ht="9" customHeight="1" x14ac:dyDescent="0.4">
      <c r="B201" s="1" t="s">
        <v>366</v>
      </c>
      <c r="C201" s="1" t="s">
        <v>367</v>
      </c>
      <c r="D201" s="1" t="s">
        <v>13</v>
      </c>
      <c r="E201" s="1">
        <v>2</v>
      </c>
      <c r="F201" s="1" t="s">
        <v>422</v>
      </c>
      <c r="H201" s="1">
        <f t="shared" si="4"/>
        <v>13</v>
      </c>
      <c r="I201" s="1" t="str">
        <f t="shared" si="5"/>
        <v>〇</v>
      </c>
      <c r="J201" s="1" t="s">
        <v>373</v>
      </c>
      <c r="K201" s="1" t="s">
        <v>374</v>
      </c>
      <c r="L201" s="1" t="s">
        <v>375</v>
      </c>
      <c r="M201" s="1" t="s">
        <v>376</v>
      </c>
      <c r="N201" s="9">
        <v>13</v>
      </c>
      <c r="O201" s="1" t="s">
        <v>373</v>
      </c>
    </row>
    <row r="202" spans="2:26" ht="9" customHeight="1" x14ac:dyDescent="0.4">
      <c r="B202" s="1" t="s">
        <v>366</v>
      </c>
      <c r="C202" s="1" t="s">
        <v>367</v>
      </c>
      <c r="D202" s="1" t="s">
        <v>454</v>
      </c>
      <c r="E202" s="1">
        <v>4</v>
      </c>
      <c r="F202" s="1" t="s">
        <v>423</v>
      </c>
      <c r="H202" s="1">
        <f t="shared" si="4"/>
        <v>13</v>
      </c>
      <c r="I202" s="1" t="str">
        <f t="shared" si="5"/>
        <v>〇</v>
      </c>
      <c r="J202" s="1" t="s">
        <v>377</v>
      </c>
      <c r="K202" s="1" t="s">
        <v>378</v>
      </c>
      <c r="L202" s="1" t="s">
        <v>379</v>
      </c>
      <c r="M202" s="1" t="s">
        <v>380</v>
      </c>
      <c r="N202" s="9">
        <v>13</v>
      </c>
      <c r="O202" s="1" t="s">
        <v>377</v>
      </c>
    </row>
    <row r="203" spans="2:26" ht="9" customHeight="1" x14ac:dyDescent="0.4">
      <c r="B203" s="1" t="s">
        <v>366</v>
      </c>
      <c r="C203" s="1" t="s">
        <v>367</v>
      </c>
      <c r="D203" s="1" t="s">
        <v>455</v>
      </c>
      <c r="E203" s="1">
        <v>22</v>
      </c>
      <c r="F203" s="1" t="s">
        <v>424</v>
      </c>
      <c r="H203" s="1">
        <f t="shared" si="4"/>
        <v>3</v>
      </c>
      <c r="I203" s="1" t="str">
        <f t="shared" si="5"/>
        <v>〇</v>
      </c>
      <c r="J203" s="1" t="s">
        <v>257</v>
      </c>
      <c r="K203" s="1" t="s">
        <v>26</v>
      </c>
      <c r="L203" s="1" t="s">
        <v>381</v>
      </c>
      <c r="M203" s="1" t="s">
        <v>382</v>
      </c>
      <c r="N203" s="1">
        <v>3</v>
      </c>
      <c r="O203" s="1" t="s">
        <v>257</v>
      </c>
    </row>
    <row r="204" spans="2:26" ht="9" customHeight="1" x14ac:dyDescent="0.4">
      <c r="B204" s="1" t="s">
        <v>366</v>
      </c>
      <c r="C204" s="1" t="s">
        <v>367</v>
      </c>
      <c r="D204" s="1" t="s">
        <v>456</v>
      </c>
      <c r="E204" s="1">
        <v>13</v>
      </c>
      <c r="F204" s="1" t="s">
        <v>425</v>
      </c>
      <c r="H204" s="1">
        <f t="shared" si="4"/>
        <v>5</v>
      </c>
      <c r="I204" s="1" t="str">
        <f t="shared" si="5"/>
        <v>〇</v>
      </c>
      <c r="J204" s="1" t="s">
        <v>383</v>
      </c>
      <c r="K204" s="1" t="s">
        <v>384</v>
      </c>
      <c r="L204" s="1" t="s">
        <v>385</v>
      </c>
      <c r="M204" s="1" t="s">
        <v>384</v>
      </c>
      <c r="N204" s="1">
        <v>5</v>
      </c>
      <c r="O204" s="1" t="s">
        <v>383</v>
      </c>
    </row>
    <row r="205" spans="2:26" ht="9" customHeight="1" x14ac:dyDescent="0.4">
      <c r="B205" s="1" t="s">
        <v>366</v>
      </c>
      <c r="C205" s="1" t="s">
        <v>367</v>
      </c>
      <c r="D205" s="1" t="s">
        <v>457</v>
      </c>
      <c r="E205" s="1">
        <v>12</v>
      </c>
      <c r="F205" s="1" t="s">
        <v>426</v>
      </c>
      <c r="H205" s="1">
        <f t="shared" si="4"/>
        <v>5</v>
      </c>
      <c r="J205" s="1" t="s">
        <v>463</v>
      </c>
      <c r="K205" s="1" t="s">
        <v>438</v>
      </c>
    </row>
    <row r="206" spans="2:26" ht="9" customHeight="1" x14ac:dyDescent="0.4">
      <c r="B206" s="1" t="s">
        <v>366</v>
      </c>
      <c r="C206" s="1" t="s">
        <v>367</v>
      </c>
      <c r="D206" s="1" t="s">
        <v>458</v>
      </c>
      <c r="E206" s="1">
        <v>20</v>
      </c>
      <c r="F206" s="1" t="s">
        <v>427</v>
      </c>
      <c r="H206" s="1">
        <f t="shared" si="4"/>
        <v>5</v>
      </c>
      <c r="J206" s="1" t="s">
        <v>464</v>
      </c>
      <c r="K206" s="1" t="s">
        <v>447</v>
      </c>
    </row>
    <row r="207" spans="2:26" ht="9" customHeight="1" x14ac:dyDescent="0.4">
      <c r="B207" s="1" t="s">
        <v>366</v>
      </c>
      <c r="C207" s="1" t="s">
        <v>367</v>
      </c>
      <c r="D207" s="1" t="s">
        <v>459</v>
      </c>
      <c r="E207" s="1">
        <v>24</v>
      </c>
      <c r="F207" s="1" t="s">
        <v>428</v>
      </c>
    </row>
    <row r="208" spans="2:26" ht="9" customHeight="1" x14ac:dyDescent="0.4">
      <c r="B208" s="1" t="s">
        <v>366</v>
      </c>
      <c r="C208" s="1" t="s">
        <v>367</v>
      </c>
      <c r="D208" s="1" t="s">
        <v>460</v>
      </c>
      <c r="E208" s="1">
        <v>7</v>
      </c>
      <c r="F208" s="1" t="s">
        <v>429</v>
      </c>
    </row>
    <row r="209" spans="2:15" ht="9" customHeight="1" x14ac:dyDescent="0.4">
      <c r="B209" s="1" t="s">
        <v>366</v>
      </c>
      <c r="C209" s="1" t="s">
        <v>367</v>
      </c>
      <c r="D209" s="1" t="s">
        <v>461</v>
      </c>
      <c r="E209" s="1">
        <v>14</v>
      </c>
      <c r="F209" s="1" t="s">
        <v>430</v>
      </c>
    </row>
    <row r="210" spans="2:15" ht="9" customHeight="1" x14ac:dyDescent="0.4">
      <c r="B210" s="1" t="s">
        <v>366</v>
      </c>
      <c r="C210" s="1" t="s">
        <v>367</v>
      </c>
      <c r="D210" s="1" t="s">
        <v>462</v>
      </c>
      <c r="E210" s="1">
        <v>6</v>
      </c>
      <c r="F210" s="1" t="s">
        <v>432</v>
      </c>
    </row>
    <row r="211" spans="2:15" ht="9" customHeight="1" x14ac:dyDescent="0.4">
      <c r="B211" s="1" t="s">
        <v>369</v>
      </c>
      <c r="C211" s="1" t="s">
        <v>370</v>
      </c>
      <c r="D211" s="1" t="s">
        <v>9</v>
      </c>
      <c r="E211" s="1">
        <v>17</v>
      </c>
      <c r="F211" s="1" t="s">
        <v>419</v>
      </c>
      <c r="H211" s="1">
        <f t="shared" ref="H211:H218" si="6">COUNTIF($B:$B,J211)</f>
        <v>3</v>
      </c>
      <c r="I211" s="1" t="str">
        <f t="shared" ref="I211:I218" si="7">IF(H211=N211,"〇","×")</f>
        <v>〇</v>
      </c>
      <c r="J211" s="1" t="s">
        <v>256</v>
      </c>
      <c r="K211" s="1" t="s">
        <v>187</v>
      </c>
      <c r="L211" s="1" t="s">
        <v>361</v>
      </c>
      <c r="M211" s="1" t="s">
        <v>362</v>
      </c>
      <c r="N211" s="1">
        <v>3</v>
      </c>
      <c r="O211" s="1" t="s">
        <v>256</v>
      </c>
    </row>
    <row r="212" spans="2:15" ht="9" customHeight="1" x14ac:dyDescent="0.4">
      <c r="B212" s="1" t="s">
        <v>369</v>
      </c>
      <c r="C212" s="1" t="s">
        <v>370</v>
      </c>
      <c r="D212" s="1" t="s">
        <v>10</v>
      </c>
      <c r="E212" s="1">
        <v>14</v>
      </c>
      <c r="F212" s="1" t="s">
        <v>401</v>
      </c>
      <c r="H212" s="1">
        <f t="shared" si="6"/>
        <v>5</v>
      </c>
      <c r="I212" s="1" t="str">
        <f t="shared" si="7"/>
        <v>〇</v>
      </c>
      <c r="J212" s="1" t="s">
        <v>363</v>
      </c>
      <c r="K212" s="1" t="s">
        <v>364</v>
      </c>
      <c r="L212" s="1" t="s">
        <v>365</v>
      </c>
      <c r="M212" s="1" t="s">
        <v>364</v>
      </c>
      <c r="N212" s="9">
        <v>5</v>
      </c>
      <c r="O212" s="1" t="s">
        <v>363</v>
      </c>
    </row>
    <row r="213" spans="2:15" ht="9" customHeight="1" x14ac:dyDescent="0.4">
      <c r="B213" s="1" t="s">
        <v>369</v>
      </c>
      <c r="C213" s="1" t="s">
        <v>370</v>
      </c>
      <c r="D213" s="1" t="s">
        <v>11</v>
      </c>
      <c r="E213" s="1">
        <v>10</v>
      </c>
      <c r="F213" s="1" t="s">
        <v>420</v>
      </c>
      <c r="H213" s="1">
        <f t="shared" si="6"/>
        <v>14</v>
      </c>
      <c r="I213" s="1" t="str">
        <f t="shared" si="7"/>
        <v>〇</v>
      </c>
      <c r="J213" s="8" t="s">
        <v>366</v>
      </c>
      <c r="K213" s="8" t="s">
        <v>367</v>
      </c>
      <c r="L213" s="1" t="s">
        <v>368</v>
      </c>
      <c r="M213" s="1" t="s">
        <v>367</v>
      </c>
      <c r="N213" s="9">
        <v>14</v>
      </c>
      <c r="O213" s="1" t="s">
        <v>366</v>
      </c>
    </row>
    <row r="214" spans="2:15" ht="9" customHeight="1" x14ac:dyDescent="0.4">
      <c r="B214" s="1" t="s">
        <v>369</v>
      </c>
      <c r="C214" s="1" t="s">
        <v>370</v>
      </c>
      <c r="D214" s="1" t="s">
        <v>12</v>
      </c>
      <c r="E214" s="1">
        <v>31</v>
      </c>
      <c r="F214" s="1" t="s">
        <v>421</v>
      </c>
      <c r="H214" s="1">
        <f t="shared" si="6"/>
        <v>14</v>
      </c>
      <c r="I214" s="1" t="str">
        <f t="shared" si="7"/>
        <v>〇</v>
      </c>
      <c r="J214" s="1" t="s">
        <v>369</v>
      </c>
      <c r="K214" s="1" t="s">
        <v>370</v>
      </c>
      <c r="L214" s="1" t="s">
        <v>371</v>
      </c>
      <c r="M214" s="1" t="s">
        <v>372</v>
      </c>
      <c r="N214" s="9">
        <v>14</v>
      </c>
      <c r="O214" s="1" t="s">
        <v>369</v>
      </c>
    </row>
    <row r="215" spans="2:15" ht="9" customHeight="1" x14ac:dyDescent="0.4">
      <c r="B215" s="1" t="s">
        <v>369</v>
      </c>
      <c r="C215" s="1" t="s">
        <v>370</v>
      </c>
      <c r="D215" s="1" t="s">
        <v>13</v>
      </c>
      <c r="E215" s="1">
        <v>2</v>
      </c>
      <c r="F215" s="1" t="s">
        <v>422</v>
      </c>
      <c r="H215" s="1">
        <f t="shared" si="6"/>
        <v>13</v>
      </c>
      <c r="I215" s="1" t="str">
        <f t="shared" si="7"/>
        <v>〇</v>
      </c>
      <c r="J215" s="1" t="s">
        <v>373</v>
      </c>
      <c r="K215" s="1" t="s">
        <v>374</v>
      </c>
      <c r="L215" s="1" t="s">
        <v>375</v>
      </c>
      <c r="M215" s="1" t="s">
        <v>376</v>
      </c>
      <c r="N215" s="9">
        <v>13</v>
      </c>
      <c r="O215" s="1" t="s">
        <v>373</v>
      </c>
    </row>
    <row r="216" spans="2:15" ht="9" customHeight="1" x14ac:dyDescent="0.4">
      <c r="B216" s="1" t="s">
        <v>369</v>
      </c>
      <c r="C216" s="1" t="s">
        <v>370</v>
      </c>
      <c r="D216" s="1" t="s">
        <v>454</v>
      </c>
      <c r="E216" s="1">
        <v>4</v>
      </c>
      <c r="F216" s="1" t="s">
        <v>423</v>
      </c>
      <c r="H216" s="1">
        <f t="shared" si="6"/>
        <v>13</v>
      </c>
      <c r="I216" s="1" t="str">
        <f t="shared" si="7"/>
        <v>〇</v>
      </c>
      <c r="J216" s="1" t="s">
        <v>377</v>
      </c>
      <c r="K216" s="1" t="s">
        <v>378</v>
      </c>
      <c r="L216" s="1" t="s">
        <v>379</v>
      </c>
      <c r="M216" s="1" t="s">
        <v>380</v>
      </c>
      <c r="N216" s="9">
        <v>13</v>
      </c>
      <c r="O216" s="1" t="s">
        <v>377</v>
      </c>
    </row>
    <row r="217" spans="2:15" ht="9" customHeight="1" x14ac:dyDescent="0.4">
      <c r="B217" s="1" t="s">
        <v>369</v>
      </c>
      <c r="C217" s="1" t="s">
        <v>370</v>
      </c>
      <c r="D217" s="1" t="s">
        <v>455</v>
      </c>
      <c r="E217" s="1">
        <v>22</v>
      </c>
      <c r="F217" s="1" t="s">
        <v>424</v>
      </c>
      <c r="H217" s="1">
        <f t="shared" si="6"/>
        <v>3</v>
      </c>
      <c r="I217" s="1" t="str">
        <f t="shared" si="7"/>
        <v>〇</v>
      </c>
      <c r="J217" s="1" t="s">
        <v>257</v>
      </c>
      <c r="K217" s="1" t="s">
        <v>26</v>
      </c>
      <c r="L217" s="1" t="s">
        <v>381</v>
      </c>
      <c r="M217" s="1" t="s">
        <v>382</v>
      </c>
      <c r="N217" s="1">
        <v>3</v>
      </c>
      <c r="O217" s="1" t="s">
        <v>257</v>
      </c>
    </row>
    <row r="218" spans="2:15" ht="9" customHeight="1" x14ac:dyDescent="0.4">
      <c r="B218" s="1" t="s">
        <v>369</v>
      </c>
      <c r="C218" s="1" t="s">
        <v>370</v>
      </c>
      <c r="D218" s="1" t="s">
        <v>456</v>
      </c>
      <c r="E218" s="1">
        <v>13</v>
      </c>
      <c r="F218" s="1" t="s">
        <v>425</v>
      </c>
      <c r="H218" s="1">
        <f t="shared" si="6"/>
        <v>5</v>
      </c>
      <c r="I218" s="1" t="str">
        <f t="shared" si="7"/>
        <v>〇</v>
      </c>
      <c r="J218" s="1" t="s">
        <v>383</v>
      </c>
      <c r="K218" s="1" t="s">
        <v>384</v>
      </c>
      <c r="L218" s="1" t="s">
        <v>385</v>
      </c>
      <c r="M218" s="1" t="s">
        <v>384</v>
      </c>
      <c r="N218" s="1">
        <v>5</v>
      </c>
      <c r="O218" s="1" t="s">
        <v>383</v>
      </c>
    </row>
    <row r="219" spans="2:15" ht="9" customHeight="1" x14ac:dyDescent="0.4">
      <c r="B219" s="1" t="s">
        <v>369</v>
      </c>
      <c r="C219" s="1" t="s">
        <v>370</v>
      </c>
      <c r="D219" s="1" t="s">
        <v>457</v>
      </c>
      <c r="E219" s="1">
        <v>12</v>
      </c>
      <c r="F219" s="1" t="s">
        <v>426</v>
      </c>
      <c r="H219" s="1">
        <f t="shared" ref="H219:H220" si="8">COUNTIF($B:$B,J219)</f>
        <v>5</v>
      </c>
      <c r="I219" s="1" t="str">
        <f t="shared" ref="I219:I220" si="9">IF(H219=N219,"〇","×")</f>
        <v>〇</v>
      </c>
      <c r="J219" s="1" t="s">
        <v>463</v>
      </c>
      <c r="K219" s="1" t="s">
        <v>438</v>
      </c>
      <c r="N219" s="1">
        <v>5</v>
      </c>
    </row>
    <row r="220" spans="2:15" ht="9" customHeight="1" x14ac:dyDescent="0.4">
      <c r="B220" s="1" t="s">
        <v>369</v>
      </c>
      <c r="C220" s="1" t="s">
        <v>370</v>
      </c>
      <c r="D220" s="1" t="s">
        <v>458</v>
      </c>
      <c r="E220" s="1">
        <v>20</v>
      </c>
      <c r="F220" s="1" t="s">
        <v>427</v>
      </c>
      <c r="H220" s="1">
        <f t="shared" si="8"/>
        <v>5</v>
      </c>
      <c r="I220" s="1" t="str">
        <f t="shared" si="9"/>
        <v>〇</v>
      </c>
      <c r="J220" s="1" t="s">
        <v>464</v>
      </c>
      <c r="K220" s="1" t="s">
        <v>447</v>
      </c>
      <c r="N220" s="1">
        <v>5</v>
      </c>
    </row>
    <row r="221" spans="2:15" ht="9" customHeight="1" x14ac:dyDescent="0.4">
      <c r="B221" s="1" t="s">
        <v>369</v>
      </c>
      <c r="C221" s="1" t="s">
        <v>370</v>
      </c>
      <c r="D221" s="1" t="s">
        <v>459</v>
      </c>
      <c r="E221" s="1">
        <v>24</v>
      </c>
      <c r="F221" s="1" t="s">
        <v>428</v>
      </c>
    </row>
    <row r="222" spans="2:15" ht="9" customHeight="1" x14ac:dyDescent="0.4">
      <c r="B222" s="1" t="s">
        <v>369</v>
      </c>
      <c r="C222" s="1" t="s">
        <v>370</v>
      </c>
      <c r="D222" s="1" t="s">
        <v>460</v>
      </c>
      <c r="E222" s="1">
        <v>7</v>
      </c>
      <c r="F222" s="1" t="s">
        <v>429</v>
      </c>
    </row>
    <row r="223" spans="2:15" ht="9" customHeight="1" x14ac:dyDescent="0.4">
      <c r="B223" s="1" t="s">
        <v>369</v>
      </c>
      <c r="C223" s="1" t="s">
        <v>370</v>
      </c>
      <c r="D223" s="1" t="s">
        <v>461</v>
      </c>
      <c r="E223" s="1">
        <v>14</v>
      </c>
      <c r="F223" s="1" t="s">
        <v>430</v>
      </c>
    </row>
    <row r="224" spans="2:15" ht="9" customHeight="1" x14ac:dyDescent="0.4">
      <c r="B224" s="1" t="s">
        <v>369</v>
      </c>
      <c r="C224" s="1" t="s">
        <v>370</v>
      </c>
      <c r="D224" s="1" t="s">
        <v>462</v>
      </c>
      <c r="E224" s="1">
        <v>6</v>
      </c>
      <c r="F224" s="1" t="s">
        <v>432</v>
      </c>
    </row>
    <row r="225" spans="2:6" ht="9" customHeight="1" x14ac:dyDescent="0.4">
      <c r="B225" s="1" t="s">
        <v>383</v>
      </c>
      <c r="C225" s="1" t="s">
        <v>384</v>
      </c>
      <c r="D225" s="1" t="s">
        <v>9</v>
      </c>
      <c r="E225" s="1">
        <v>34</v>
      </c>
      <c r="F225" s="1" t="s">
        <v>433</v>
      </c>
    </row>
    <row r="226" spans="2:6" ht="9" customHeight="1" x14ac:dyDescent="0.4">
      <c r="B226" s="1" t="s">
        <v>383</v>
      </c>
      <c r="C226" s="1" t="s">
        <v>384</v>
      </c>
      <c r="D226" s="1" t="s">
        <v>10</v>
      </c>
      <c r="E226" s="1">
        <v>18</v>
      </c>
      <c r="F226" s="1" t="s">
        <v>434</v>
      </c>
    </row>
    <row r="227" spans="2:6" ht="9" customHeight="1" x14ac:dyDescent="0.4">
      <c r="B227" s="1" t="s">
        <v>383</v>
      </c>
      <c r="C227" s="1" t="s">
        <v>384</v>
      </c>
      <c r="D227" s="1" t="s">
        <v>11</v>
      </c>
      <c r="E227" s="1">
        <v>11</v>
      </c>
      <c r="F227" s="1" t="s">
        <v>435</v>
      </c>
    </row>
    <row r="228" spans="2:6" ht="9" customHeight="1" x14ac:dyDescent="0.4">
      <c r="B228" s="1" t="s">
        <v>383</v>
      </c>
      <c r="C228" s="1" t="s">
        <v>384</v>
      </c>
      <c r="D228" s="1" t="s">
        <v>12</v>
      </c>
      <c r="E228" s="1">
        <v>16</v>
      </c>
      <c r="F228" s="1" t="s">
        <v>436</v>
      </c>
    </row>
    <row r="229" spans="2:6" ht="9" customHeight="1" x14ac:dyDescent="0.4">
      <c r="B229" s="1" t="s">
        <v>383</v>
      </c>
      <c r="C229" s="1" t="s">
        <v>384</v>
      </c>
      <c r="D229" s="1" t="s">
        <v>13</v>
      </c>
      <c r="E229" s="1">
        <v>14</v>
      </c>
      <c r="F229" s="1" t="s">
        <v>437</v>
      </c>
    </row>
    <row r="230" spans="2:6" ht="9" customHeight="1" x14ac:dyDescent="0.4">
      <c r="B230" s="1" t="s">
        <v>463</v>
      </c>
      <c r="C230" s="1" t="s">
        <v>438</v>
      </c>
      <c r="D230" s="1" t="s">
        <v>9</v>
      </c>
      <c r="E230" s="1">
        <v>6</v>
      </c>
      <c r="F230" s="1" t="s">
        <v>439</v>
      </c>
    </row>
    <row r="231" spans="2:6" ht="9" customHeight="1" x14ac:dyDescent="0.4">
      <c r="B231" s="1" t="s">
        <v>463</v>
      </c>
      <c r="C231" s="1" t="s">
        <v>438</v>
      </c>
      <c r="D231" s="1" t="s">
        <v>10</v>
      </c>
      <c r="E231" s="1">
        <v>21</v>
      </c>
      <c r="F231" s="1" t="s">
        <v>440</v>
      </c>
    </row>
    <row r="232" spans="2:6" ht="9" customHeight="1" x14ac:dyDescent="0.4">
      <c r="B232" s="1" t="s">
        <v>463</v>
      </c>
      <c r="C232" s="1" t="s">
        <v>438</v>
      </c>
      <c r="D232" s="1" t="s">
        <v>11</v>
      </c>
      <c r="E232" s="1">
        <v>14</v>
      </c>
      <c r="F232" s="1" t="s">
        <v>441</v>
      </c>
    </row>
    <row r="233" spans="2:6" ht="9" customHeight="1" x14ac:dyDescent="0.4">
      <c r="B233" s="1" t="s">
        <v>463</v>
      </c>
      <c r="C233" s="1" t="s">
        <v>438</v>
      </c>
      <c r="D233" s="1" t="s">
        <v>12</v>
      </c>
      <c r="E233" s="1">
        <v>20</v>
      </c>
      <c r="F233" s="1" t="s">
        <v>442</v>
      </c>
    </row>
    <row r="234" spans="2:6" ht="9" customHeight="1" x14ac:dyDescent="0.4">
      <c r="B234" s="1" t="s">
        <v>463</v>
      </c>
      <c r="C234" s="1" t="s">
        <v>438</v>
      </c>
      <c r="D234" s="1" t="s">
        <v>13</v>
      </c>
      <c r="E234" s="1">
        <v>12</v>
      </c>
      <c r="F234" s="1" t="s">
        <v>443</v>
      </c>
    </row>
    <row r="235" spans="2:6" ht="9" customHeight="1" x14ac:dyDescent="0.4">
      <c r="B235" s="1" t="s">
        <v>363</v>
      </c>
      <c r="C235" s="1" t="s">
        <v>364</v>
      </c>
      <c r="D235" s="1" t="s">
        <v>9</v>
      </c>
      <c r="E235" s="1">
        <v>12</v>
      </c>
      <c r="F235" s="1" t="s">
        <v>444</v>
      </c>
    </row>
    <row r="236" spans="2:6" ht="9" customHeight="1" x14ac:dyDescent="0.4">
      <c r="B236" s="1" t="s">
        <v>363</v>
      </c>
      <c r="C236" s="1" t="s">
        <v>364</v>
      </c>
      <c r="D236" s="1" t="s">
        <v>10</v>
      </c>
      <c r="E236" s="1">
        <v>10</v>
      </c>
      <c r="F236" s="1" t="s">
        <v>445</v>
      </c>
    </row>
    <row r="237" spans="2:6" ht="9" customHeight="1" x14ac:dyDescent="0.4">
      <c r="B237" s="1" t="s">
        <v>363</v>
      </c>
      <c r="C237" s="1" t="s">
        <v>364</v>
      </c>
      <c r="D237" s="1" t="s">
        <v>11</v>
      </c>
      <c r="E237" s="1">
        <v>14</v>
      </c>
      <c r="F237" s="1" t="s">
        <v>446</v>
      </c>
    </row>
    <row r="238" spans="2:6" ht="9" customHeight="1" x14ac:dyDescent="0.4">
      <c r="B238" s="1" t="s">
        <v>363</v>
      </c>
      <c r="C238" s="1" t="s">
        <v>364</v>
      </c>
      <c r="D238" s="1" t="s">
        <v>12</v>
      </c>
      <c r="E238" s="1">
        <v>20</v>
      </c>
      <c r="F238" s="1" t="s">
        <v>436</v>
      </c>
    </row>
    <row r="239" spans="2:6" ht="9" customHeight="1" x14ac:dyDescent="0.4">
      <c r="B239" s="1" t="s">
        <v>363</v>
      </c>
      <c r="C239" s="1" t="s">
        <v>364</v>
      </c>
      <c r="D239" s="1" t="s">
        <v>13</v>
      </c>
      <c r="E239" s="1">
        <v>6</v>
      </c>
      <c r="F239" s="1" t="s">
        <v>437</v>
      </c>
    </row>
    <row r="240" spans="2:6" ht="9" customHeight="1" x14ac:dyDescent="0.4">
      <c r="B240" s="1" t="s">
        <v>464</v>
      </c>
      <c r="C240" s="1" t="s">
        <v>447</v>
      </c>
      <c r="D240" s="1" t="s">
        <v>9</v>
      </c>
      <c r="E240" s="1">
        <v>18</v>
      </c>
      <c r="F240" s="1" t="s">
        <v>448</v>
      </c>
    </row>
    <row r="241" spans="2:6" ht="9" customHeight="1" x14ac:dyDescent="0.4">
      <c r="B241" s="1" t="s">
        <v>464</v>
      </c>
      <c r="C241" s="1" t="s">
        <v>447</v>
      </c>
      <c r="D241" s="1" t="s">
        <v>10</v>
      </c>
      <c r="E241" s="1">
        <v>12</v>
      </c>
      <c r="F241" s="1" t="s">
        <v>449</v>
      </c>
    </row>
    <row r="242" spans="2:6" ht="9" customHeight="1" x14ac:dyDescent="0.4">
      <c r="B242" s="1" t="s">
        <v>464</v>
      </c>
      <c r="C242" s="1" t="s">
        <v>447</v>
      </c>
      <c r="D242" s="1" t="s">
        <v>11</v>
      </c>
      <c r="E242" s="1">
        <v>8</v>
      </c>
      <c r="F242" s="1" t="s">
        <v>450</v>
      </c>
    </row>
    <row r="243" spans="2:6" ht="9" customHeight="1" x14ac:dyDescent="0.4">
      <c r="B243" s="1" t="s">
        <v>464</v>
      </c>
      <c r="C243" s="1" t="s">
        <v>447</v>
      </c>
      <c r="D243" s="1" t="s">
        <v>12</v>
      </c>
      <c r="E243" s="1">
        <v>28</v>
      </c>
      <c r="F243" s="1" t="s">
        <v>451</v>
      </c>
    </row>
    <row r="244" spans="2:6" ht="9" customHeight="1" x14ac:dyDescent="0.4">
      <c r="B244" s="1" t="s">
        <v>464</v>
      </c>
      <c r="C244" s="1" t="s">
        <v>447</v>
      </c>
      <c r="D244" s="1" t="s">
        <v>13</v>
      </c>
      <c r="E244" s="1">
        <v>15</v>
      </c>
      <c r="F244" s="1" t="s">
        <v>452</v>
      </c>
    </row>
    <row r="245" spans="2:6" ht="9" customHeight="1" x14ac:dyDescent="0.4"/>
    <row r="246" spans="2:6" ht="9" customHeight="1" x14ac:dyDescent="0.4"/>
    <row r="247" spans="2:6" ht="9" customHeight="1" x14ac:dyDescent="0.4"/>
    <row r="248" spans="2:6" ht="9" customHeight="1" x14ac:dyDescent="0.4"/>
    <row r="249" spans="2:6" ht="9" customHeight="1" x14ac:dyDescent="0.4"/>
    <row r="250" spans="2:6" ht="9" customHeight="1" x14ac:dyDescent="0.4"/>
    <row r="251" spans="2:6" ht="9" customHeight="1" x14ac:dyDescent="0.4"/>
    <row r="252" spans="2:6" ht="9" customHeight="1" x14ac:dyDescent="0.4"/>
    <row r="253" spans="2:6" ht="9" customHeight="1" x14ac:dyDescent="0.4"/>
    <row r="254" spans="2:6" ht="9" customHeight="1" x14ac:dyDescent="0.4"/>
    <row r="255" spans="2:6" ht="9" customHeight="1" x14ac:dyDescent="0.4"/>
    <row r="256" spans="2:6" ht="9" customHeight="1" x14ac:dyDescent="0.4"/>
    <row r="257" ht="9" customHeight="1" x14ac:dyDescent="0.4"/>
    <row r="258" ht="9" customHeight="1" x14ac:dyDescent="0.4"/>
    <row r="259" ht="9" customHeight="1" x14ac:dyDescent="0.4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CE3F4-D44B-4C57-9ED4-CC1F4DCA6E21}">
  <sheetPr>
    <pageSetUpPr fitToPage="1"/>
  </sheetPr>
  <dimension ref="A1:T102"/>
  <sheetViews>
    <sheetView zoomScale="85" zoomScaleNormal="85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V16" sqref="V16"/>
    </sheetView>
  </sheetViews>
  <sheetFormatPr defaultRowHeight="18.75" x14ac:dyDescent="0.4"/>
  <cols>
    <col min="1" max="1" width="22.5" style="31" bestFit="1" customWidth="1"/>
    <col min="2" max="2" width="6.75" style="31" bestFit="1" customWidth="1"/>
    <col min="3" max="3" width="5" style="31" bestFit="1" customWidth="1"/>
    <col min="4" max="5" width="13.625" style="31" bestFit="1" customWidth="1"/>
    <col min="6" max="14" width="5.125" style="31" customWidth="1"/>
    <col min="15" max="15" width="5.875" style="31" bestFit="1" customWidth="1"/>
    <col min="16" max="16" width="9.625" style="31" bestFit="1" customWidth="1"/>
    <col min="17" max="17" width="5" style="31" bestFit="1" customWidth="1"/>
    <col min="18" max="18" width="5.875" style="31" bestFit="1" customWidth="1"/>
    <col min="19" max="19" width="13.375" style="31" bestFit="1" customWidth="1"/>
    <col min="20" max="20" width="5" bestFit="1" customWidth="1"/>
    <col min="21" max="16384" width="9" style="31"/>
  </cols>
  <sheetData>
    <row r="1" spans="1:19" s="25" customFormat="1" ht="49.5" customHeight="1" x14ac:dyDescent="0.4">
      <c r="A1" s="17" t="s">
        <v>386</v>
      </c>
      <c r="B1" s="18" t="s">
        <v>387</v>
      </c>
      <c r="C1" s="19" t="s">
        <v>388</v>
      </c>
      <c r="D1" s="19" t="s">
        <v>389</v>
      </c>
      <c r="E1" s="20" t="s">
        <v>468</v>
      </c>
      <c r="F1" s="21" t="s">
        <v>465</v>
      </c>
      <c r="G1" s="21" t="s">
        <v>466</v>
      </c>
      <c r="H1" s="21" t="s">
        <v>467</v>
      </c>
      <c r="I1" s="21" t="s">
        <v>472</v>
      </c>
      <c r="J1" s="21" t="s">
        <v>473</v>
      </c>
      <c r="K1" s="22" t="s">
        <v>436</v>
      </c>
      <c r="L1" s="21" t="s">
        <v>469</v>
      </c>
      <c r="M1" s="21" t="s">
        <v>470</v>
      </c>
      <c r="N1" s="21" t="s">
        <v>471</v>
      </c>
      <c r="O1" s="23" t="s">
        <v>474</v>
      </c>
      <c r="P1" s="24" t="s">
        <v>476</v>
      </c>
      <c r="Q1" s="24"/>
      <c r="R1" s="24"/>
      <c r="S1" s="24"/>
    </row>
    <row r="2" spans="1:19" x14ac:dyDescent="0.4">
      <c r="A2" s="26" t="s">
        <v>390</v>
      </c>
      <c r="B2" s="27" t="s">
        <v>391</v>
      </c>
      <c r="C2" s="28">
        <v>7</v>
      </c>
      <c r="D2" s="29" t="s">
        <v>392</v>
      </c>
      <c r="E2" s="28" t="s">
        <v>393</v>
      </c>
      <c r="F2" s="29" t="s">
        <v>475</v>
      </c>
      <c r="G2" s="29" t="s">
        <v>475</v>
      </c>
      <c r="H2" s="29" t="s">
        <v>475</v>
      </c>
      <c r="I2" s="29"/>
      <c r="J2" s="29"/>
      <c r="K2" s="29"/>
      <c r="L2" s="29" t="s">
        <v>475</v>
      </c>
      <c r="M2" s="29"/>
      <c r="N2" s="29"/>
      <c r="O2" s="30"/>
    </row>
    <row r="3" spans="1:19" ht="18.75" customHeight="1" x14ac:dyDescent="0.4">
      <c r="A3" s="26" t="s">
        <v>390</v>
      </c>
      <c r="B3" s="27" t="s">
        <v>394</v>
      </c>
      <c r="C3" s="27">
        <v>2</v>
      </c>
      <c r="D3" s="29" t="s">
        <v>395</v>
      </c>
      <c r="E3" s="27"/>
      <c r="F3" s="29"/>
      <c r="G3" s="29"/>
      <c r="H3" s="29"/>
      <c r="I3" s="29"/>
      <c r="J3" s="29"/>
      <c r="K3" s="29"/>
      <c r="L3" s="29"/>
      <c r="M3" s="29"/>
      <c r="N3" s="29" t="s">
        <v>475</v>
      </c>
      <c r="O3" s="30"/>
    </row>
    <row r="4" spans="1:19" ht="18.75" customHeight="1" x14ac:dyDescent="0.4">
      <c r="A4" s="26" t="s">
        <v>390</v>
      </c>
      <c r="B4" s="27" t="s">
        <v>396</v>
      </c>
      <c r="C4" s="27">
        <v>2</v>
      </c>
      <c r="D4" s="29" t="s">
        <v>397</v>
      </c>
      <c r="E4" s="27"/>
      <c r="F4" s="29"/>
      <c r="G4" s="29"/>
      <c r="H4" s="29"/>
      <c r="I4" s="29"/>
      <c r="J4" s="29"/>
      <c r="K4" s="29"/>
      <c r="L4" s="29"/>
      <c r="M4" s="29"/>
      <c r="N4" s="29" t="s">
        <v>475</v>
      </c>
      <c r="O4" s="30"/>
    </row>
    <row r="5" spans="1:19" x14ac:dyDescent="0.4">
      <c r="A5" s="26" t="s">
        <v>390</v>
      </c>
      <c r="B5" s="27" t="s">
        <v>398</v>
      </c>
      <c r="C5" s="27">
        <v>2</v>
      </c>
      <c r="D5" s="29" t="s">
        <v>399</v>
      </c>
      <c r="E5" s="27"/>
      <c r="F5" s="29"/>
      <c r="G5" s="29"/>
      <c r="H5" s="29"/>
      <c r="I5" s="29"/>
      <c r="J5" s="29"/>
      <c r="K5" s="29"/>
      <c r="L5" s="29"/>
      <c r="M5" s="29"/>
      <c r="N5" s="29" t="s">
        <v>475</v>
      </c>
      <c r="O5" s="30"/>
    </row>
    <row r="6" spans="1:19" x14ac:dyDescent="0.4">
      <c r="A6" s="26" t="s">
        <v>390</v>
      </c>
      <c r="B6" s="27" t="s">
        <v>400</v>
      </c>
      <c r="C6" s="27">
        <v>24</v>
      </c>
      <c r="D6" s="29" t="s">
        <v>401</v>
      </c>
      <c r="E6" s="27"/>
      <c r="F6" s="29"/>
      <c r="G6" s="29"/>
      <c r="H6" s="29"/>
      <c r="I6" s="29"/>
      <c r="J6" s="29"/>
      <c r="K6" s="29"/>
      <c r="L6" s="29"/>
      <c r="M6" s="29"/>
      <c r="N6" s="29" t="s">
        <v>475</v>
      </c>
      <c r="O6" s="30"/>
      <c r="P6" s="31" t="s">
        <v>475</v>
      </c>
    </row>
    <row r="7" spans="1:19" x14ac:dyDescent="0.4">
      <c r="A7" s="26" t="s">
        <v>390</v>
      </c>
      <c r="B7" s="27" t="s">
        <v>402</v>
      </c>
      <c r="C7" s="27">
        <v>8</v>
      </c>
      <c r="D7" s="29" t="s">
        <v>403</v>
      </c>
      <c r="E7" s="27"/>
      <c r="F7" s="29"/>
      <c r="G7" s="29"/>
      <c r="H7" s="29"/>
      <c r="I7" s="29"/>
      <c r="J7" s="29"/>
      <c r="K7" s="29"/>
      <c r="L7" s="29"/>
      <c r="M7" s="29"/>
      <c r="N7" s="29"/>
      <c r="O7" s="30"/>
      <c r="Q7" s="31" t="s">
        <v>477</v>
      </c>
    </row>
    <row r="8" spans="1:19" x14ac:dyDescent="0.4">
      <c r="A8" s="26" t="s">
        <v>390</v>
      </c>
      <c r="B8" s="27" t="s">
        <v>404</v>
      </c>
      <c r="C8" s="28">
        <v>20</v>
      </c>
      <c r="D8" s="29" t="s">
        <v>405</v>
      </c>
      <c r="E8" s="27"/>
      <c r="F8" s="29" t="s">
        <v>475</v>
      </c>
      <c r="G8" s="29"/>
      <c r="H8" s="29"/>
      <c r="I8" s="29"/>
      <c r="J8" s="29" t="s">
        <v>475</v>
      </c>
      <c r="K8" s="29"/>
      <c r="L8" s="29" t="s">
        <v>475</v>
      </c>
      <c r="M8" s="29"/>
      <c r="N8" s="29"/>
      <c r="O8" s="30"/>
    </row>
    <row r="9" spans="1:19" x14ac:dyDescent="0.4">
      <c r="A9" s="26" t="s">
        <v>390</v>
      </c>
      <c r="B9" s="27" t="s">
        <v>406</v>
      </c>
      <c r="C9" s="27">
        <v>15</v>
      </c>
      <c r="D9" s="29" t="s">
        <v>407</v>
      </c>
      <c r="E9" s="27"/>
      <c r="F9" s="29"/>
      <c r="G9" s="29"/>
      <c r="H9" s="29"/>
      <c r="I9" s="29"/>
      <c r="J9" s="29"/>
      <c r="K9" s="29"/>
      <c r="L9" s="29" t="s">
        <v>475</v>
      </c>
      <c r="M9" s="29"/>
      <c r="N9" s="29"/>
      <c r="O9" s="30"/>
    </row>
    <row r="10" spans="1:19" x14ac:dyDescent="0.4">
      <c r="A10" s="26" t="s">
        <v>390</v>
      </c>
      <c r="B10" s="27" t="s">
        <v>408</v>
      </c>
      <c r="C10" s="28">
        <v>18</v>
      </c>
      <c r="D10" s="29" t="s">
        <v>409</v>
      </c>
      <c r="E10" s="27"/>
      <c r="F10" s="29"/>
      <c r="G10" s="29"/>
      <c r="H10" s="29"/>
      <c r="I10" s="29" t="s">
        <v>475</v>
      </c>
      <c r="J10" s="29"/>
      <c r="K10" s="29" t="s">
        <v>475</v>
      </c>
      <c r="L10" s="29"/>
      <c r="M10" s="29"/>
      <c r="N10" s="29"/>
      <c r="O10" s="30"/>
    </row>
    <row r="11" spans="1:19" x14ac:dyDescent="0.4">
      <c r="A11" s="26" t="s">
        <v>390</v>
      </c>
      <c r="B11" s="27" t="s">
        <v>410</v>
      </c>
      <c r="C11" s="28">
        <v>35</v>
      </c>
      <c r="D11" s="29" t="s">
        <v>411</v>
      </c>
      <c r="E11" s="27"/>
      <c r="F11" s="29"/>
      <c r="G11" s="29"/>
      <c r="H11" s="29"/>
      <c r="I11" s="29" t="s">
        <v>475</v>
      </c>
      <c r="J11" s="29"/>
      <c r="K11" s="29" t="s">
        <v>475</v>
      </c>
      <c r="L11" s="29"/>
      <c r="M11" s="29"/>
      <c r="N11" s="29"/>
      <c r="O11" s="30"/>
    </row>
    <row r="12" spans="1:19" ht="18.75" customHeight="1" x14ac:dyDescent="0.4">
      <c r="A12" s="26" t="s">
        <v>390</v>
      </c>
      <c r="B12" s="27" t="s">
        <v>412</v>
      </c>
      <c r="C12" s="28">
        <v>10</v>
      </c>
      <c r="D12" s="29" t="s">
        <v>413</v>
      </c>
      <c r="E12" s="27"/>
      <c r="F12" s="29"/>
      <c r="G12" s="29"/>
      <c r="H12" s="29"/>
      <c r="I12" s="29" t="s">
        <v>475</v>
      </c>
      <c r="J12" s="29"/>
      <c r="K12" s="29" t="s">
        <v>475</v>
      </c>
      <c r="L12" s="29"/>
      <c r="M12" s="29"/>
      <c r="N12" s="29"/>
      <c r="O12" s="30"/>
    </row>
    <row r="13" spans="1:19" ht="18.75" customHeight="1" x14ac:dyDescent="0.4">
      <c r="A13" s="26" t="s">
        <v>390</v>
      </c>
      <c r="B13" s="27" t="s">
        <v>414</v>
      </c>
      <c r="C13" s="28">
        <v>31</v>
      </c>
      <c r="D13" s="29" t="s">
        <v>415</v>
      </c>
      <c r="E13" s="27"/>
      <c r="F13" s="29"/>
      <c r="G13" s="29"/>
      <c r="H13" s="29"/>
      <c r="I13" s="29"/>
      <c r="J13" s="29"/>
      <c r="K13" s="29"/>
      <c r="L13" s="29" t="s">
        <v>475</v>
      </c>
      <c r="M13" s="29"/>
      <c r="N13" s="29"/>
      <c r="O13" s="30"/>
    </row>
    <row r="14" spans="1:19" x14ac:dyDescent="0.4">
      <c r="A14" s="26" t="s">
        <v>390</v>
      </c>
      <c r="B14" s="27" t="s">
        <v>416</v>
      </c>
      <c r="C14" s="27">
        <v>8</v>
      </c>
      <c r="D14" s="29" t="s">
        <v>417</v>
      </c>
      <c r="E14" s="27"/>
      <c r="F14" s="29"/>
      <c r="G14" s="29"/>
      <c r="H14" s="29"/>
      <c r="I14" s="29"/>
      <c r="J14" s="29"/>
      <c r="K14" s="29"/>
      <c r="L14" s="29" t="s">
        <v>475</v>
      </c>
      <c r="M14" s="29"/>
      <c r="N14" s="29"/>
      <c r="O14" s="30"/>
    </row>
    <row r="15" spans="1:19" x14ac:dyDescent="0.4">
      <c r="A15" s="32" t="s">
        <v>418</v>
      </c>
      <c r="B15" s="27" t="s">
        <v>391</v>
      </c>
      <c r="C15" s="27">
        <v>17</v>
      </c>
      <c r="D15" s="29" t="s">
        <v>419</v>
      </c>
      <c r="E15" s="27"/>
      <c r="F15" s="29"/>
      <c r="G15" s="29"/>
      <c r="H15" s="29"/>
      <c r="I15" s="29"/>
      <c r="J15" s="29"/>
      <c r="K15" s="29"/>
      <c r="L15" s="29"/>
      <c r="M15" s="29"/>
      <c r="N15" s="29"/>
      <c r="O15" s="30" t="s">
        <v>475</v>
      </c>
    </row>
    <row r="16" spans="1:19" x14ac:dyDescent="0.4">
      <c r="A16" s="32" t="s">
        <v>418</v>
      </c>
      <c r="B16" s="27" t="s">
        <v>394</v>
      </c>
      <c r="C16" s="27">
        <v>14</v>
      </c>
      <c r="D16" s="29" t="s">
        <v>401</v>
      </c>
      <c r="E16" s="27"/>
      <c r="F16" s="29"/>
      <c r="G16" s="29"/>
      <c r="H16" s="29"/>
      <c r="I16" s="29"/>
      <c r="J16" s="29"/>
      <c r="K16" s="29"/>
      <c r="L16" s="29"/>
      <c r="M16" s="29"/>
      <c r="N16" s="29"/>
      <c r="O16" s="30" t="s">
        <v>475</v>
      </c>
    </row>
    <row r="17" spans="1:15" x14ac:dyDescent="0.4">
      <c r="A17" s="32" t="s">
        <v>418</v>
      </c>
      <c r="B17" s="27" t="s">
        <v>396</v>
      </c>
      <c r="C17" s="27">
        <v>10</v>
      </c>
      <c r="D17" s="29" t="s">
        <v>420</v>
      </c>
      <c r="E17" s="27"/>
      <c r="F17" s="29" t="s">
        <v>475</v>
      </c>
      <c r="G17" s="29"/>
      <c r="H17" s="29"/>
      <c r="I17" s="29"/>
      <c r="J17" s="29" t="s">
        <v>475</v>
      </c>
      <c r="K17" s="29"/>
      <c r="L17" s="29"/>
      <c r="M17" s="29"/>
      <c r="N17" s="29"/>
      <c r="O17" s="30"/>
    </row>
    <row r="18" spans="1:15" x14ac:dyDescent="0.4">
      <c r="A18" s="32" t="s">
        <v>418</v>
      </c>
      <c r="B18" s="27" t="s">
        <v>398</v>
      </c>
      <c r="C18" s="28">
        <v>31</v>
      </c>
      <c r="D18" s="29" t="s">
        <v>421</v>
      </c>
      <c r="E18" s="27"/>
      <c r="F18" s="29"/>
      <c r="G18" s="29"/>
      <c r="H18" s="29"/>
      <c r="I18" s="29"/>
      <c r="J18" s="29"/>
      <c r="K18" s="29"/>
      <c r="L18" s="29"/>
      <c r="M18" s="29"/>
      <c r="N18" s="29"/>
      <c r="O18" s="30" t="s">
        <v>475</v>
      </c>
    </row>
    <row r="19" spans="1:15" x14ac:dyDescent="0.4">
      <c r="A19" s="32" t="s">
        <v>418</v>
      </c>
      <c r="B19" s="27" t="s">
        <v>400</v>
      </c>
      <c r="C19" s="27">
        <v>2</v>
      </c>
      <c r="D19" s="29" t="s">
        <v>422</v>
      </c>
      <c r="E19" s="27"/>
      <c r="F19" s="29"/>
      <c r="G19" s="29"/>
      <c r="H19" s="29"/>
      <c r="I19" s="29"/>
      <c r="J19" s="29"/>
      <c r="K19" s="29"/>
      <c r="L19" s="29"/>
      <c r="M19" s="29"/>
      <c r="N19" s="29" t="s">
        <v>475</v>
      </c>
      <c r="O19" s="30"/>
    </row>
    <row r="20" spans="1:15" x14ac:dyDescent="0.4">
      <c r="A20" s="32" t="s">
        <v>418</v>
      </c>
      <c r="B20" s="27" t="s">
        <v>402</v>
      </c>
      <c r="C20" s="28">
        <v>4</v>
      </c>
      <c r="D20" s="33" t="s">
        <v>423</v>
      </c>
      <c r="E20" s="27"/>
      <c r="F20" s="29"/>
      <c r="G20" s="29"/>
      <c r="H20" s="29"/>
      <c r="I20" s="29"/>
      <c r="J20" s="29"/>
      <c r="K20" s="29"/>
      <c r="L20" s="29"/>
      <c r="M20" s="29"/>
      <c r="N20" s="29"/>
      <c r="O20" s="30" t="s">
        <v>475</v>
      </c>
    </row>
    <row r="21" spans="1:15" ht="18.75" customHeight="1" x14ac:dyDescent="0.4">
      <c r="A21" s="32" t="s">
        <v>418</v>
      </c>
      <c r="B21" s="27" t="s">
        <v>404</v>
      </c>
      <c r="C21" s="28">
        <v>22</v>
      </c>
      <c r="D21" s="29" t="s">
        <v>424</v>
      </c>
      <c r="E21" s="27"/>
      <c r="F21" s="29"/>
      <c r="G21" s="29"/>
      <c r="H21" s="29"/>
      <c r="I21" s="29"/>
      <c r="J21" s="29"/>
      <c r="K21" s="29"/>
      <c r="L21" s="29"/>
      <c r="M21" s="29" t="s">
        <v>475</v>
      </c>
      <c r="N21" s="29"/>
      <c r="O21" s="30"/>
    </row>
    <row r="22" spans="1:15" ht="18.75" customHeight="1" x14ac:dyDescent="0.4">
      <c r="A22" s="32" t="s">
        <v>418</v>
      </c>
      <c r="B22" s="27" t="s">
        <v>406</v>
      </c>
      <c r="C22" s="27">
        <v>13</v>
      </c>
      <c r="D22" s="34" t="s">
        <v>478</v>
      </c>
      <c r="E22" s="27"/>
      <c r="F22" s="29"/>
      <c r="G22" s="29"/>
      <c r="H22" s="29"/>
      <c r="I22" s="29"/>
      <c r="J22" s="29"/>
      <c r="K22" s="29"/>
      <c r="L22" s="29"/>
      <c r="M22" s="29" t="s">
        <v>475</v>
      </c>
      <c r="N22" s="29"/>
      <c r="O22" s="30"/>
    </row>
    <row r="23" spans="1:15" x14ac:dyDescent="0.4">
      <c r="A23" s="32" t="s">
        <v>418</v>
      </c>
      <c r="B23" s="27" t="s">
        <v>408</v>
      </c>
      <c r="C23" s="27">
        <v>12</v>
      </c>
      <c r="D23" s="29" t="s">
        <v>426</v>
      </c>
      <c r="E23" s="27"/>
      <c r="F23" s="29"/>
      <c r="G23" s="29"/>
      <c r="H23" s="29"/>
      <c r="I23" s="29"/>
      <c r="J23" s="29"/>
      <c r="K23" s="29"/>
      <c r="L23" s="29"/>
      <c r="M23" s="29" t="s">
        <v>475</v>
      </c>
      <c r="N23" s="29"/>
      <c r="O23" s="30"/>
    </row>
    <row r="24" spans="1:15" x14ac:dyDescent="0.4">
      <c r="A24" s="32" t="s">
        <v>418</v>
      </c>
      <c r="B24" s="27" t="s">
        <v>410</v>
      </c>
      <c r="C24" s="28">
        <v>20</v>
      </c>
      <c r="D24" s="29" t="s">
        <v>427</v>
      </c>
      <c r="E24" s="27"/>
      <c r="F24" s="29"/>
      <c r="G24" s="29" t="s">
        <v>475</v>
      </c>
      <c r="H24" s="29" t="s">
        <v>475</v>
      </c>
      <c r="I24" s="29"/>
      <c r="J24" s="29"/>
      <c r="K24" s="29"/>
      <c r="L24" s="29"/>
      <c r="M24" s="29" t="s">
        <v>475</v>
      </c>
      <c r="N24" s="29"/>
      <c r="O24" s="30"/>
    </row>
    <row r="25" spans="1:15" x14ac:dyDescent="0.4">
      <c r="A25" s="32" t="s">
        <v>418</v>
      </c>
      <c r="B25" s="27" t="s">
        <v>412</v>
      </c>
      <c r="C25" s="28">
        <v>24</v>
      </c>
      <c r="D25" s="29" t="s">
        <v>428</v>
      </c>
      <c r="E25" s="27"/>
      <c r="F25" s="29"/>
      <c r="G25" s="29"/>
      <c r="H25" s="29"/>
      <c r="I25" s="29"/>
      <c r="J25" s="29"/>
      <c r="K25" s="29" t="s">
        <v>475</v>
      </c>
      <c r="L25" s="29"/>
      <c r="M25" s="29"/>
      <c r="N25" s="29"/>
      <c r="O25" s="30"/>
    </row>
    <row r="26" spans="1:15" x14ac:dyDescent="0.4">
      <c r="A26" s="32" t="s">
        <v>418</v>
      </c>
      <c r="B26" s="27" t="s">
        <v>414</v>
      </c>
      <c r="C26" s="27">
        <v>7</v>
      </c>
      <c r="D26" s="29" t="s">
        <v>429</v>
      </c>
      <c r="E26" s="27"/>
      <c r="F26" s="29"/>
      <c r="G26" s="29"/>
      <c r="H26" s="29"/>
      <c r="I26" s="29" t="s">
        <v>475</v>
      </c>
      <c r="J26" s="29"/>
      <c r="K26" s="29"/>
      <c r="L26" s="29" t="s">
        <v>475</v>
      </c>
      <c r="M26" s="29"/>
      <c r="N26" s="29"/>
      <c r="O26" s="30"/>
    </row>
    <row r="27" spans="1:15" x14ac:dyDescent="0.4">
      <c r="A27" s="32" t="s">
        <v>418</v>
      </c>
      <c r="B27" s="27" t="s">
        <v>416</v>
      </c>
      <c r="C27" s="27">
        <v>14</v>
      </c>
      <c r="D27" s="29" t="s">
        <v>430</v>
      </c>
      <c r="E27" s="27"/>
      <c r="F27" s="29"/>
      <c r="G27" s="29"/>
      <c r="H27" s="29"/>
      <c r="I27" s="29" t="s">
        <v>475</v>
      </c>
      <c r="J27" s="29"/>
      <c r="K27" s="29"/>
      <c r="L27" s="29" t="s">
        <v>475</v>
      </c>
      <c r="M27" s="29"/>
      <c r="N27" s="29"/>
      <c r="O27" s="30"/>
    </row>
    <row r="28" spans="1:15" x14ac:dyDescent="0.4">
      <c r="A28" s="32" t="s">
        <v>418</v>
      </c>
      <c r="B28" s="27" t="s">
        <v>431</v>
      </c>
      <c r="C28" s="27">
        <v>6</v>
      </c>
      <c r="D28" s="29" t="s">
        <v>432</v>
      </c>
      <c r="E28" s="27"/>
      <c r="F28" s="29"/>
      <c r="G28" s="29"/>
      <c r="H28" s="29"/>
      <c r="I28" s="29" t="s">
        <v>475</v>
      </c>
      <c r="J28" s="29"/>
      <c r="K28" s="29"/>
      <c r="L28" s="29" t="s">
        <v>475</v>
      </c>
      <c r="M28" s="29"/>
      <c r="N28" s="29"/>
      <c r="O28" s="30"/>
    </row>
    <row r="29" spans="1:15" x14ac:dyDescent="0.4">
      <c r="A29" s="32" t="s">
        <v>384</v>
      </c>
      <c r="B29" s="27" t="s">
        <v>391</v>
      </c>
      <c r="C29" s="28">
        <v>34</v>
      </c>
      <c r="D29" s="29" t="s">
        <v>433</v>
      </c>
      <c r="E29" s="27"/>
      <c r="F29" s="29" t="s">
        <v>475</v>
      </c>
      <c r="G29" s="29"/>
      <c r="H29" s="29"/>
      <c r="I29" s="29" t="s">
        <v>475</v>
      </c>
      <c r="J29" s="29" t="s">
        <v>475</v>
      </c>
      <c r="K29" s="29"/>
      <c r="L29" s="29"/>
      <c r="M29" s="29" t="s">
        <v>475</v>
      </c>
      <c r="N29" s="29"/>
      <c r="O29" s="30"/>
    </row>
    <row r="30" spans="1:15" ht="18.75" customHeight="1" x14ac:dyDescent="0.4">
      <c r="A30" s="32" t="s">
        <v>384</v>
      </c>
      <c r="B30" s="27" t="s">
        <v>394</v>
      </c>
      <c r="C30" s="28">
        <v>18</v>
      </c>
      <c r="D30" s="29" t="s">
        <v>434</v>
      </c>
      <c r="E30" s="27"/>
      <c r="F30" s="29"/>
      <c r="G30" s="29" t="s">
        <v>475</v>
      </c>
      <c r="H30" s="29" t="s">
        <v>475</v>
      </c>
      <c r="I30" s="29" t="s">
        <v>475</v>
      </c>
      <c r="J30" s="29"/>
      <c r="K30" s="29"/>
      <c r="L30" s="29"/>
      <c r="M30" s="29" t="s">
        <v>475</v>
      </c>
      <c r="N30" s="29"/>
      <c r="O30" s="30"/>
    </row>
    <row r="31" spans="1:15" x14ac:dyDescent="0.4">
      <c r="A31" s="32" t="s">
        <v>384</v>
      </c>
      <c r="B31" s="27" t="s">
        <v>396</v>
      </c>
      <c r="C31" s="28">
        <v>11</v>
      </c>
      <c r="D31" s="29" t="s">
        <v>435</v>
      </c>
      <c r="E31" s="27"/>
      <c r="F31" s="29"/>
      <c r="G31" s="29" t="s">
        <v>475</v>
      </c>
      <c r="H31" s="29" t="s">
        <v>475</v>
      </c>
      <c r="I31" s="29" t="s">
        <v>475</v>
      </c>
      <c r="J31" s="29"/>
      <c r="K31" s="29"/>
      <c r="L31" s="29"/>
      <c r="M31" s="29" t="s">
        <v>475</v>
      </c>
      <c r="N31" s="29"/>
      <c r="O31" s="30"/>
    </row>
    <row r="32" spans="1:15" x14ac:dyDescent="0.4">
      <c r="A32" s="32" t="s">
        <v>384</v>
      </c>
      <c r="B32" s="27" t="s">
        <v>398</v>
      </c>
      <c r="C32" s="28">
        <v>16</v>
      </c>
      <c r="D32" s="29" t="s">
        <v>436</v>
      </c>
      <c r="E32" s="27"/>
      <c r="F32" s="29"/>
      <c r="G32" s="29"/>
      <c r="H32" s="29"/>
      <c r="I32" s="29"/>
      <c r="J32" s="29"/>
      <c r="K32" s="29" t="s">
        <v>475</v>
      </c>
      <c r="L32" s="29"/>
      <c r="M32" s="29"/>
      <c r="N32" s="29"/>
      <c r="O32" s="30"/>
    </row>
    <row r="33" spans="1:15" x14ac:dyDescent="0.4">
      <c r="A33" s="32" t="s">
        <v>384</v>
      </c>
      <c r="B33" s="27" t="s">
        <v>400</v>
      </c>
      <c r="C33" s="27">
        <v>14</v>
      </c>
      <c r="D33" s="29" t="s">
        <v>437</v>
      </c>
      <c r="E33" s="27"/>
      <c r="F33" s="29"/>
      <c r="G33" s="29"/>
      <c r="H33" s="29"/>
      <c r="I33" s="29"/>
      <c r="J33" s="29"/>
      <c r="K33" s="29" t="s">
        <v>475</v>
      </c>
      <c r="L33" s="29"/>
      <c r="M33" s="29" t="s">
        <v>475</v>
      </c>
      <c r="N33" s="29"/>
      <c r="O33" s="30"/>
    </row>
    <row r="34" spans="1:15" x14ac:dyDescent="0.4">
      <c r="A34" s="32" t="s">
        <v>438</v>
      </c>
      <c r="B34" s="27" t="s">
        <v>391</v>
      </c>
      <c r="C34" s="27">
        <v>6</v>
      </c>
      <c r="D34" s="29" t="s">
        <v>439</v>
      </c>
      <c r="E34" s="27"/>
      <c r="F34" s="29" t="s">
        <v>475</v>
      </c>
      <c r="G34" s="29"/>
      <c r="H34" s="29"/>
      <c r="I34" s="29"/>
      <c r="J34" s="29" t="s">
        <v>475</v>
      </c>
      <c r="K34" s="29"/>
      <c r="L34" s="29"/>
      <c r="M34" s="29"/>
      <c r="N34" s="29"/>
      <c r="O34" s="30"/>
    </row>
    <row r="35" spans="1:15" x14ac:dyDescent="0.4">
      <c r="A35" s="32" t="s">
        <v>438</v>
      </c>
      <c r="B35" s="27" t="s">
        <v>394</v>
      </c>
      <c r="C35" s="27">
        <v>21</v>
      </c>
      <c r="D35" s="29" t="s">
        <v>440</v>
      </c>
      <c r="E35" s="27"/>
      <c r="F35" s="29"/>
      <c r="G35" s="29" t="s">
        <v>475</v>
      </c>
      <c r="H35" s="29" t="s">
        <v>475</v>
      </c>
      <c r="I35" s="29"/>
      <c r="J35" s="29"/>
      <c r="K35" s="29"/>
      <c r="L35" s="29"/>
      <c r="M35" s="29"/>
      <c r="N35" s="29"/>
      <c r="O35" s="30"/>
    </row>
    <row r="36" spans="1:15" x14ac:dyDescent="0.4">
      <c r="A36" s="32" t="s">
        <v>438</v>
      </c>
      <c r="B36" s="27" t="s">
        <v>396</v>
      </c>
      <c r="C36" s="27">
        <v>14</v>
      </c>
      <c r="D36" s="29" t="s">
        <v>441</v>
      </c>
      <c r="E36" s="27"/>
      <c r="F36" s="29"/>
      <c r="G36" s="29"/>
      <c r="H36" s="29"/>
      <c r="I36" s="29" t="s">
        <v>475</v>
      </c>
      <c r="J36" s="29" t="s">
        <v>475</v>
      </c>
      <c r="K36" s="29" t="s">
        <v>475</v>
      </c>
      <c r="L36" s="29"/>
      <c r="M36" s="29" t="s">
        <v>475</v>
      </c>
      <c r="N36" s="29"/>
      <c r="O36" s="30"/>
    </row>
    <row r="37" spans="1:15" x14ac:dyDescent="0.4">
      <c r="A37" s="32" t="s">
        <v>438</v>
      </c>
      <c r="B37" s="27" t="s">
        <v>398</v>
      </c>
      <c r="C37" s="27">
        <v>20</v>
      </c>
      <c r="D37" s="29" t="s">
        <v>442</v>
      </c>
      <c r="E37" s="27"/>
      <c r="F37" s="29"/>
      <c r="G37" s="29"/>
      <c r="H37" s="29"/>
      <c r="I37" s="29" t="s">
        <v>475</v>
      </c>
      <c r="J37" s="29" t="s">
        <v>475</v>
      </c>
      <c r="K37" s="29" t="s">
        <v>475</v>
      </c>
      <c r="L37" s="29"/>
      <c r="M37" s="29" t="s">
        <v>475</v>
      </c>
      <c r="N37" s="29"/>
      <c r="O37" s="30"/>
    </row>
    <row r="38" spans="1:15" x14ac:dyDescent="0.4">
      <c r="A38" s="32" t="s">
        <v>438</v>
      </c>
      <c r="B38" s="27" t="s">
        <v>400</v>
      </c>
      <c r="C38" s="27">
        <v>12</v>
      </c>
      <c r="D38" s="29" t="s">
        <v>443</v>
      </c>
      <c r="E38" s="27"/>
      <c r="F38" s="29"/>
      <c r="G38" s="29"/>
      <c r="H38" s="29"/>
      <c r="I38" s="29" t="s">
        <v>475</v>
      </c>
      <c r="J38" s="29" t="s">
        <v>475</v>
      </c>
      <c r="K38" s="29" t="s">
        <v>475</v>
      </c>
      <c r="L38" s="29"/>
      <c r="M38" s="29" t="s">
        <v>475</v>
      </c>
      <c r="N38" s="29"/>
      <c r="O38" s="30"/>
    </row>
    <row r="39" spans="1:15" ht="18.75" customHeight="1" x14ac:dyDescent="0.4">
      <c r="A39" s="32" t="s">
        <v>364</v>
      </c>
      <c r="B39" s="27" t="s">
        <v>391</v>
      </c>
      <c r="C39" s="27">
        <v>12</v>
      </c>
      <c r="D39" s="29" t="s">
        <v>444</v>
      </c>
      <c r="E39" s="27"/>
      <c r="F39" s="29"/>
      <c r="G39" s="29"/>
      <c r="H39" s="29"/>
      <c r="I39" s="29"/>
      <c r="J39" s="29"/>
      <c r="K39" s="29"/>
      <c r="L39" s="29"/>
      <c r="M39" s="29" t="s">
        <v>475</v>
      </c>
      <c r="N39" s="29"/>
      <c r="O39" s="30"/>
    </row>
    <row r="40" spans="1:15" x14ac:dyDescent="0.4">
      <c r="A40" s="32" t="s">
        <v>364</v>
      </c>
      <c r="B40" s="27" t="s">
        <v>394</v>
      </c>
      <c r="C40" s="27">
        <v>10</v>
      </c>
      <c r="D40" s="29" t="s">
        <v>445</v>
      </c>
      <c r="E40" s="27"/>
      <c r="F40" s="29" t="s">
        <v>475</v>
      </c>
      <c r="G40" s="29" t="s">
        <v>475</v>
      </c>
      <c r="H40" s="29" t="s">
        <v>475</v>
      </c>
      <c r="I40" s="29"/>
      <c r="J40" s="29"/>
      <c r="K40" s="29"/>
      <c r="L40" s="29"/>
      <c r="M40" s="29" t="s">
        <v>475</v>
      </c>
      <c r="N40" s="29"/>
      <c r="O40" s="30" t="s">
        <v>475</v>
      </c>
    </row>
    <row r="41" spans="1:15" x14ac:dyDescent="0.4">
      <c r="A41" s="32" t="s">
        <v>364</v>
      </c>
      <c r="B41" s="27" t="s">
        <v>396</v>
      </c>
      <c r="C41" s="27">
        <v>14</v>
      </c>
      <c r="D41" s="29" t="s">
        <v>446</v>
      </c>
      <c r="E41" s="27"/>
      <c r="F41" s="29"/>
      <c r="G41" s="29"/>
      <c r="H41" s="29"/>
      <c r="I41" s="29"/>
      <c r="J41" s="29" t="s">
        <v>475</v>
      </c>
      <c r="K41" s="29"/>
      <c r="L41" s="29"/>
      <c r="M41" s="29" t="s">
        <v>475</v>
      </c>
      <c r="N41" s="29"/>
      <c r="O41" s="30" t="s">
        <v>475</v>
      </c>
    </row>
    <row r="42" spans="1:15" x14ac:dyDescent="0.4">
      <c r="A42" s="32" t="s">
        <v>364</v>
      </c>
      <c r="B42" s="27" t="s">
        <v>398</v>
      </c>
      <c r="C42" s="27">
        <v>20</v>
      </c>
      <c r="D42" s="29" t="s">
        <v>436</v>
      </c>
      <c r="E42" s="27"/>
      <c r="F42" s="29"/>
      <c r="G42" s="29"/>
      <c r="H42" s="29"/>
      <c r="I42" s="29" t="s">
        <v>475</v>
      </c>
      <c r="J42" s="29" t="s">
        <v>475</v>
      </c>
      <c r="K42" s="29" t="s">
        <v>475</v>
      </c>
      <c r="L42" s="29"/>
      <c r="M42" s="29"/>
      <c r="N42" s="29"/>
      <c r="O42" s="30"/>
    </row>
    <row r="43" spans="1:15" x14ac:dyDescent="0.4">
      <c r="A43" s="32" t="s">
        <v>364</v>
      </c>
      <c r="B43" s="27" t="s">
        <v>400</v>
      </c>
      <c r="C43" s="27">
        <v>6</v>
      </c>
      <c r="D43" s="29" t="s">
        <v>437</v>
      </c>
      <c r="E43" s="27"/>
      <c r="F43" s="29"/>
      <c r="G43" s="29"/>
      <c r="H43" s="29"/>
      <c r="I43" s="29"/>
      <c r="J43" s="29"/>
      <c r="K43" s="29" t="s">
        <v>475</v>
      </c>
      <c r="L43" s="29"/>
      <c r="M43" s="29" t="s">
        <v>475</v>
      </c>
      <c r="N43" s="29"/>
      <c r="O43" s="30" t="s">
        <v>475</v>
      </c>
    </row>
    <row r="44" spans="1:15" x14ac:dyDescent="0.4">
      <c r="A44" s="32" t="s">
        <v>447</v>
      </c>
      <c r="B44" s="27" t="s">
        <v>391</v>
      </c>
      <c r="C44" s="27">
        <v>18</v>
      </c>
      <c r="D44" s="29" t="s">
        <v>448</v>
      </c>
      <c r="E44" s="27"/>
      <c r="F44" s="29"/>
      <c r="G44" s="29"/>
      <c r="H44" s="29"/>
      <c r="I44" s="29"/>
      <c r="J44" s="29"/>
      <c r="K44" s="29"/>
      <c r="L44" s="29"/>
      <c r="M44" s="29"/>
      <c r="N44" s="29"/>
      <c r="O44" s="30" t="s">
        <v>475</v>
      </c>
    </row>
    <row r="45" spans="1:15" x14ac:dyDescent="0.4">
      <c r="A45" s="32" t="s">
        <v>447</v>
      </c>
      <c r="B45" s="27" t="s">
        <v>394</v>
      </c>
      <c r="C45" s="27">
        <v>12</v>
      </c>
      <c r="D45" s="29" t="s">
        <v>449</v>
      </c>
      <c r="E45" s="27"/>
      <c r="F45" s="29"/>
      <c r="G45" s="29"/>
      <c r="H45" s="29"/>
      <c r="I45" s="29"/>
      <c r="J45" s="29"/>
      <c r="K45" s="29"/>
      <c r="L45" s="29"/>
      <c r="M45" s="29"/>
      <c r="N45" s="29"/>
      <c r="O45" s="30" t="s">
        <v>475</v>
      </c>
    </row>
    <row r="46" spans="1:15" x14ac:dyDescent="0.4">
      <c r="A46" s="32" t="s">
        <v>447</v>
      </c>
      <c r="B46" s="27" t="s">
        <v>396</v>
      </c>
      <c r="C46" s="27">
        <v>8</v>
      </c>
      <c r="D46" s="29" t="s">
        <v>450</v>
      </c>
      <c r="E46" s="27"/>
      <c r="F46" s="29"/>
      <c r="G46" s="29"/>
      <c r="H46" s="29"/>
      <c r="I46" s="29"/>
      <c r="J46" s="29"/>
      <c r="K46" s="29"/>
      <c r="L46" s="29"/>
      <c r="M46" s="29"/>
      <c r="N46" s="29"/>
      <c r="O46" s="30" t="s">
        <v>475</v>
      </c>
    </row>
    <row r="47" spans="1:15" x14ac:dyDescent="0.4">
      <c r="A47" s="32" t="s">
        <v>447</v>
      </c>
      <c r="B47" s="27" t="s">
        <v>398</v>
      </c>
      <c r="C47" s="27">
        <v>28</v>
      </c>
      <c r="D47" s="29" t="s">
        <v>451</v>
      </c>
      <c r="E47" s="27"/>
      <c r="F47" s="29"/>
      <c r="G47" s="29"/>
      <c r="H47" s="29"/>
      <c r="I47" s="29"/>
      <c r="J47" s="29"/>
      <c r="K47" s="29"/>
      <c r="L47" s="29"/>
      <c r="M47" s="29"/>
      <c r="N47" s="29"/>
      <c r="O47" s="30" t="s">
        <v>475</v>
      </c>
    </row>
    <row r="48" spans="1:15" ht="18.75" customHeight="1" x14ac:dyDescent="0.4">
      <c r="A48" s="35" t="s">
        <v>447</v>
      </c>
      <c r="B48" s="36" t="s">
        <v>400</v>
      </c>
      <c r="C48" s="36">
        <v>15</v>
      </c>
      <c r="D48" s="37" t="s">
        <v>452</v>
      </c>
      <c r="E48" s="36"/>
      <c r="F48" s="37"/>
      <c r="G48" s="37"/>
      <c r="H48" s="37"/>
      <c r="I48" s="37"/>
      <c r="J48" s="37"/>
      <c r="K48" s="37"/>
      <c r="L48" s="37"/>
      <c r="M48" s="37"/>
      <c r="N48" s="37"/>
      <c r="O48" s="38" t="s">
        <v>475</v>
      </c>
    </row>
    <row r="49" spans="3:4" x14ac:dyDescent="0.4">
      <c r="C49" s="39"/>
      <c r="D49" s="31" t="s">
        <v>453</v>
      </c>
    </row>
    <row r="57" spans="3:4" ht="18.75" customHeight="1" x14ac:dyDescent="0.4"/>
    <row r="66" ht="18.75" customHeight="1" x14ac:dyDescent="0.4"/>
    <row r="75" ht="18.75" customHeight="1" x14ac:dyDescent="0.4"/>
    <row r="84" ht="18.75" customHeight="1" x14ac:dyDescent="0.4"/>
    <row r="93" ht="18.75" customHeight="1" x14ac:dyDescent="0.4"/>
    <row r="102" ht="18.75" customHeight="1" x14ac:dyDescent="0.4"/>
  </sheetData>
  <phoneticPr fontId="2"/>
  <pageMargins left="0.70866141732283472" right="0.70866141732283472" top="0.35433070866141736" bottom="0.35433070866141736" header="0.31496062992125984" footer="0.31496062992125984"/>
  <pageSetup paperSize="9" scale="54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②T11_ルーム情報_CSV書き出し用DATAもと</vt:lpstr>
      <vt:lpstr>③T11_ルーム情報</vt:lpstr>
      <vt:lpstr>きたん校舎20250923浪上部長情報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真由美 酒井</cp:lastModifiedBy>
  <cp:lastPrinted>2025-11-21T01:49:02Z</cp:lastPrinted>
  <dcterms:created xsi:type="dcterms:W3CDTF">2024-11-08T06:42:36Z</dcterms:created>
  <dcterms:modified xsi:type="dcterms:W3CDTF">2025-11-21T10:29:09Z</dcterms:modified>
</cp:coreProperties>
</file>